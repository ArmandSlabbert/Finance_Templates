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/>
  <mc:AlternateContent xmlns:mc="http://schemas.openxmlformats.org/markup-compatibility/2006">
    <mc:Choice Requires="x15">
      <x15ac:absPath xmlns:x15ac="http://schemas.microsoft.com/office/spreadsheetml/2010/11/ac" url="/Users/armandslabbertbuchanan_icloudgmail/Library/CloudStorage/OneDrive-Personal/Github/Checklist/"/>
    </mc:Choice>
  </mc:AlternateContent>
  <xr:revisionPtr revIDLastSave="0" documentId="13_ncr:1_{B0A0582C-F53A-D04E-9058-4ACBC38550F9}" xr6:coauthVersionLast="47" xr6:coauthVersionMax="47" xr10:uidLastSave="{00000000-0000-0000-0000-000000000000}"/>
  <bookViews>
    <workbookView xWindow="1000" yWindow="2160" windowWidth="27580" windowHeight="12820" activeTab="1" xr2:uid="{00000000-000D-0000-FFFF-FFFF00000000}"/>
  </bookViews>
  <sheets>
    <sheet name="Dashboard" sheetId="4" r:id="rId1"/>
    <sheet name="Checklist" sheetId="1" r:id="rId2"/>
    <sheet name="Assumptions - STATUS" sheetId="2" r:id="rId3"/>
    <sheet name="Assumptions - EMPLOYEE" sheetId="3" r:id="rId4"/>
    <sheet name="Useful tips" sheetId="5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4" l="1"/>
  <c r="F18" i="4"/>
  <c r="C20" i="4"/>
  <c r="C19" i="4"/>
  <c r="C18" i="4"/>
  <c r="C17" i="4"/>
  <c r="F3" i="1"/>
  <c r="F17" i="4"/>
  <c r="F6" i="1"/>
  <c r="F4" i="1"/>
  <c r="F5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M3" i="1"/>
  <c r="C21" i="4" l="1"/>
</calcChain>
</file>

<file path=xl/sharedStrings.xml><?xml version="1.0" encoding="utf-8"?>
<sst xmlns="http://schemas.openxmlformats.org/spreadsheetml/2006/main" count="288" uniqueCount="176">
  <si>
    <t>Version:</t>
  </si>
  <si>
    <t>v1.0</t>
  </si>
  <si>
    <t>Last Updated:</t>
  </si>
  <si>
    <t>Owner:</t>
  </si>
  <si>
    <t>Armand Slabbert</t>
  </si>
  <si>
    <t>RAG</t>
  </si>
  <si>
    <t>Count</t>
  </si>
  <si>
    <t>Critical Tasks</t>
  </si>
  <si>
    <t>Critical Count</t>
  </si>
  <si>
    <t>Red &amp; Critical</t>
  </si>
  <si>
    <t>Amber &amp; Critical</t>
  </si>
  <si>
    <t>RAG Legend</t>
  </si>
  <si>
    <t>Red = Not started / critical risk</t>
  </si>
  <si>
    <t>Amber =  Queries</t>
  </si>
  <si>
    <t>Yellow = Work in progress / awaiting review</t>
  </si>
  <si>
    <t>Green = Finalised</t>
  </si>
  <si>
    <r>
      <rPr>
        <b/>
        <sz val="11"/>
        <color rgb="FF000000"/>
        <rFont val="Aptos Narrow"/>
      </rPr>
      <t xml:space="preserve">Refer to tab </t>
    </r>
    <r>
      <rPr>
        <b/>
        <sz val="11"/>
        <color rgb="FFE49EDD"/>
        <rFont val="Aptos Narrow"/>
      </rPr>
      <t xml:space="preserve">Assumptions - EMPLOYEE
</t>
    </r>
    <r>
      <rPr>
        <b/>
        <sz val="11"/>
        <color rgb="FF000000"/>
        <rFont val="Aptos Narrow"/>
      </rPr>
      <t xml:space="preserve">
</t>
    </r>
  </si>
  <si>
    <r>
      <t xml:space="preserve">Refer to tab </t>
    </r>
    <r>
      <rPr>
        <b/>
        <sz val="11"/>
        <color rgb="FF82CAEC"/>
        <rFont val="Aptos Narrow"/>
        <scheme val="minor"/>
      </rPr>
      <t xml:space="preserve">Assumptions - STATUS
</t>
    </r>
    <r>
      <rPr>
        <b/>
        <sz val="11"/>
        <color rgb="FF000000"/>
        <rFont val="Aptos Narrow"/>
        <scheme val="minor"/>
      </rPr>
      <t xml:space="preserve">
</t>
    </r>
  </si>
  <si>
    <t>Task Category</t>
  </si>
  <si>
    <t>Task Description</t>
  </si>
  <si>
    <t>Owner</t>
  </si>
  <si>
    <t>Status</t>
  </si>
  <si>
    <t>Due Date</t>
  </si>
  <si>
    <t>Completed Date</t>
  </si>
  <si>
    <t>Reviewed By</t>
  </si>
  <si>
    <t>Notes</t>
  </si>
  <si>
    <t>Pre-Close</t>
  </si>
  <si>
    <t>Confirm month-end close timetable</t>
  </si>
  <si>
    <t>Thabo Maseko</t>
  </si>
  <si>
    <t>Not Started</t>
  </si>
  <si>
    <t>Yes</t>
  </si>
  <si>
    <t>Ensure all source documents received</t>
  </si>
  <si>
    <t>Annelie van Wyk</t>
  </si>
  <si>
    <t>Pending Input</t>
  </si>
  <si>
    <t>Cash &amp; Banking</t>
  </si>
  <si>
    <t>Perform bank reconciliations</t>
  </si>
  <si>
    <t>Siphelele Dlamini</t>
  </si>
  <si>
    <t>Finalised</t>
  </si>
  <si>
    <t>No</t>
  </si>
  <si>
    <t>Review outstanding reconciling items</t>
  </si>
  <si>
    <t>Johan Botha</t>
  </si>
  <si>
    <t>Revenue</t>
  </si>
  <si>
    <t>Verify revenue completeness and cut-off</t>
  </si>
  <si>
    <t>Naledi Molefe</t>
  </si>
  <si>
    <t>Reconcile revenue to sub-ledgers</t>
  </si>
  <si>
    <t>Pieter du Plessis</t>
  </si>
  <si>
    <t>Expenses</t>
  </si>
  <si>
    <t>Capture all supplier invoices</t>
  </si>
  <si>
    <t>Zandile Nkomo</t>
  </si>
  <si>
    <t>Review accruals and prepayments</t>
  </si>
  <si>
    <t>Willem Pretorius</t>
  </si>
  <si>
    <t>In Progress</t>
  </si>
  <si>
    <t>Payroll</t>
  </si>
  <si>
    <t>Reconcile payroll to general ledger</t>
  </si>
  <si>
    <t>Lerato Kgosi</t>
  </si>
  <si>
    <t>Review payroll accruals</t>
  </si>
  <si>
    <t>Heinrich Müller</t>
  </si>
  <si>
    <t>Assets</t>
  </si>
  <si>
    <t>Review fixed asset register</t>
  </si>
  <si>
    <t>Busisiwe Zulu</t>
  </si>
  <si>
    <t>Prepared</t>
  </si>
  <si>
    <t>Post depreciation journals</t>
  </si>
  <si>
    <t>Francois Joubert</t>
  </si>
  <si>
    <t>Tax &amp; VAT</t>
  </si>
  <si>
    <t>Prepare VAT reconciliation</t>
  </si>
  <si>
    <t>Kagiso Mokoena</t>
  </si>
  <si>
    <t>Review VAT payable / receivable</t>
  </si>
  <si>
    <t>Marlene Coetzee</t>
  </si>
  <si>
    <t>Intercompany</t>
  </si>
  <si>
    <t>Reconcile intercompany balances</t>
  </si>
  <si>
    <t>Sibusiso Khumalo</t>
  </si>
  <si>
    <t>Confirm intercompany agreements</t>
  </si>
  <si>
    <t>Ruan de Villiers</t>
  </si>
  <si>
    <t>Reporting</t>
  </si>
  <si>
    <t>Prepare management accounts</t>
  </si>
  <si>
    <t>Palesa Motsepe</t>
  </si>
  <si>
    <t>Perform variance analysis vs budget &amp; prior month</t>
  </si>
  <si>
    <t>Christo Nel</t>
  </si>
  <si>
    <t>Review</t>
  </si>
  <si>
    <t>Finance Manager review &amp; sign-off</t>
  </si>
  <si>
    <t>Nomsa Madonsela</t>
  </si>
  <si>
    <t>Final lock of accounting period</t>
  </si>
  <si>
    <t>Arno Steyn</t>
  </si>
  <si>
    <t>Column1</t>
  </si>
  <si>
    <t>Applies To</t>
  </si>
  <si>
    <t>Key Assumptions</t>
  </si>
  <si>
    <t>Control Requirement</t>
  </si>
  <si>
    <t>Evidence Required</t>
  </si>
  <si>
    <t>All close tasks</t>
  </si>
  <si>
    <t>Period still open; no workpapers or journals created</t>
  </si>
  <si>
    <t>No review or estimates permitted without approval</t>
  </si>
  <si>
    <t>None</t>
  </si>
  <si>
    <t>Tasks with external dependencies</t>
  </si>
  <si>
    <t>Required information identified and outstanding</t>
  </si>
  <si>
    <t>Follow-ups documented; estimates only if approved</t>
  </si>
  <si>
    <t>Email trail / request log</t>
  </si>
  <si>
    <t>All operational close tasks</t>
  </si>
  <si>
    <t>All source data received; work actively underway</t>
  </si>
  <si>
    <t>Numbers provisional; not relied on for reporting</t>
  </si>
  <si>
    <t>Draft schedules / reconciliations</t>
  </si>
  <si>
    <t>All balance sheet reconciliations</t>
  </si>
  <si>
    <t>Reconciliation balances to GL; no unexplained differences</t>
  </si>
  <si>
    <t>Independent review required</t>
  </si>
  <si>
    <t>Signed reconciliation + GL extract</t>
  </si>
  <si>
    <t>Under Review</t>
  </si>
  <si>
    <t>All prepared close tasks</t>
  </si>
  <si>
    <t>Reviewer actively assessing accuracy and completeness</t>
  </si>
  <si>
    <t>No posting without reviewer approval</t>
  </si>
  <si>
    <t>Review notes / checklist</t>
  </si>
  <si>
    <t>Queries Raised</t>
  </si>
  <si>
    <t>Reviewed tasks with issues</t>
  </si>
  <si>
    <t>Issues identified and communicated to preparer</t>
  </si>
  <si>
    <t>All queries must be resolved before approval</t>
  </si>
  <si>
    <t>Query log / email correspondence</t>
  </si>
  <si>
    <t>Reworked / Updated</t>
  </si>
  <si>
    <t>Tasks returned after review</t>
  </si>
  <si>
    <t>All review queries addressed; schedules updated</t>
  </si>
  <si>
    <t>Must be re-reviewed before approval</t>
  </si>
  <si>
    <t>Updated reconciliation + adjustment journals</t>
  </si>
  <si>
    <t>Approved</t>
  </si>
  <si>
    <t>Reviewer satisfied; no unresolved differences</t>
  </si>
  <si>
    <t>Numbers locked for reporting</t>
  </si>
  <si>
    <t>Reviewer sign-off</t>
  </si>
  <si>
    <t>Reporting and compliance outputs</t>
  </si>
  <si>
    <t>Included in management pack; period locked</t>
  </si>
  <si>
    <t>Changes require CFO approval</t>
  </si>
  <si>
    <t>Management pack / submission confirmation</t>
  </si>
  <si>
    <t>Owner &amp; Reviewer</t>
  </si>
  <si>
    <t>Job Title</t>
  </si>
  <si>
    <t xml:space="preserve"> Chief Financial Officer        </t>
  </si>
  <si>
    <t xml:space="preserve"> Finance Manager                </t>
  </si>
  <si>
    <t xml:space="preserve"> Senior Accountant              </t>
  </si>
  <si>
    <t xml:space="preserve"> Junior Accountant              </t>
  </si>
  <si>
    <t xml:space="preserve"> Bookkeeper                     </t>
  </si>
  <si>
    <t xml:space="preserve"> Creditors Clerk                </t>
  </si>
  <si>
    <t xml:space="preserve"> Debtors Clerk                  </t>
  </si>
  <si>
    <t xml:space="preserve"> Financial Controller           </t>
  </si>
  <si>
    <t xml:space="preserve"> Management Accountant          </t>
  </si>
  <si>
    <t xml:space="preserve"> Group Reporting Accountant     </t>
  </si>
  <si>
    <t xml:space="preserve"> Payroll Administrator          </t>
  </si>
  <si>
    <t xml:space="preserve"> Financial Analyst              </t>
  </si>
  <si>
    <t xml:space="preserve"> Assistant Accountant           </t>
  </si>
  <si>
    <t xml:space="preserve"> Finance Administrator          </t>
  </si>
  <si>
    <t xml:space="preserve"> Accounts Payable Supervisor    </t>
  </si>
  <si>
    <t xml:space="preserve"> Treasury Analyst               </t>
  </si>
  <si>
    <t xml:space="preserve"> Compliance &amp; Reporting Officer </t>
  </si>
  <si>
    <t xml:space="preserve"> Cost Accountant                </t>
  </si>
  <si>
    <t xml:space="preserve"> VAT &amp; Tax Accountant           </t>
  </si>
  <si>
    <t xml:space="preserve"> Internal Audit Officer         </t>
  </si>
  <si>
    <t>Lindiwe Mabaso</t>
  </si>
  <si>
    <t xml:space="preserve"> Finance Operations Coordinator </t>
  </si>
  <si>
    <t>Jacques le Roux</t>
  </si>
  <si>
    <t xml:space="preserve"> Head of Finance Operations     </t>
  </si>
  <si>
    <t>Accuracy &amp; Risk Controls</t>
  </si>
  <si>
    <r>
      <t>Source System</t>
    </r>
    <r>
      <rPr>
        <sz val="11"/>
        <color theme="1"/>
        <rFont val="Aptos Narrow"/>
        <family val="2"/>
        <scheme val="minor"/>
      </rPr>
      <t xml:space="preserve"> – trace every number back to origin</t>
    </r>
  </si>
  <si>
    <r>
      <t>Amount / Exposure</t>
    </r>
    <r>
      <rPr>
        <sz val="11"/>
        <color theme="1"/>
        <rFont val="Aptos Narrow"/>
        <family val="2"/>
        <scheme val="minor"/>
      </rPr>
      <t xml:space="preserve"> – supports value-based prioritisation</t>
    </r>
  </si>
  <si>
    <r>
      <t>Material? (Yes/No)</t>
    </r>
    <r>
      <rPr>
        <sz val="11"/>
        <color theme="1"/>
        <rFont val="Aptos Narrow"/>
        <family val="2"/>
        <scheme val="minor"/>
      </rPr>
      <t xml:space="preserve"> – enables risk-based review</t>
    </r>
  </si>
  <si>
    <r>
      <t>Risk Rating (High/Medium/Low)</t>
    </r>
    <r>
      <rPr>
        <sz val="11"/>
        <color theme="1"/>
        <rFont val="Aptos Narrow"/>
        <family val="2"/>
        <scheme val="minor"/>
      </rPr>
      <t xml:space="preserve"> – inherent risk vs execution status</t>
    </r>
  </si>
  <si>
    <t>Review &amp; Audit Evidence</t>
  </si>
  <si>
    <r>
      <t>Reviewer Sign-off Date</t>
    </r>
    <r>
      <rPr>
        <sz val="11"/>
        <color theme="1"/>
        <rFont val="Aptos Narrow"/>
        <family val="2"/>
        <scheme val="minor"/>
      </rPr>
      <t xml:space="preserve"> – proves independent review</t>
    </r>
  </si>
  <si>
    <r>
      <t>Journal Ref / Batch ID</t>
    </r>
    <r>
      <rPr>
        <sz val="11"/>
        <color theme="1"/>
        <rFont val="Aptos Narrow"/>
        <family val="2"/>
        <scheme val="minor"/>
      </rPr>
      <t xml:space="preserve"> – end-to-end traceability</t>
    </r>
  </si>
  <si>
    <r>
      <t>Evidence Location</t>
    </r>
    <r>
      <rPr>
        <sz val="11"/>
        <color theme="1"/>
        <rFont val="Aptos Narrow"/>
        <family val="2"/>
        <scheme val="minor"/>
      </rPr>
      <t xml:space="preserve"> – exact folder / link for audit speed</t>
    </r>
  </si>
  <si>
    <t>Exception &amp; Change Management</t>
  </si>
  <si>
    <r>
      <t>Standard / Exception</t>
    </r>
    <r>
      <rPr>
        <sz val="11"/>
        <color theme="1"/>
        <rFont val="Aptos Narrow"/>
        <family val="2"/>
        <scheme val="minor"/>
      </rPr>
      <t xml:space="preserve"> – explains deviations</t>
    </r>
  </si>
  <si>
    <r>
      <t>Post-Close Adjustment?</t>
    </r>
    <r>
      <rPr>
        <sz val="11"/>
        <color theme="1"/>
        <rFont val="Aptos Narrow"/>
        <family val="2"/>
        <scheme val="minor"/>
      </rPr>
      <t xml:space="preserve"> – protects you during audits</t>
    </r>
  </si>
  <si>
    <r>
      <t>Depends On</t>
    </r>
    <r>
      <rPr>
        <sz val="11"/>
        <color theme="1"/>
        <rFont val="Aptos Narrow"/>
        <family val="2"/>
        <scheme val="minor"/>
      </rPr>
      <t xml:space="preserve"> – removes premature reviews</t>
    </r>
  </si>
  <si>
    <r>
      <t>Notes / Exception Log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(already aligned with this structure)</t>
    </r>
  </si>
  <si>
    <t>Process Maturity Indicators</t>
  </si>
  <si>
    <t>Recurring Task (Monthly / Quarterly / Annual / Ad-Hoc)</t>
  </si>
  <si>
    <t>Automation Level (Manual / Semi-Automated / Automated)</t>
  </si>
  <si>
    <t xml:space="preserve">     COMPANY NAME </t>
  </si>
  <si>
    <t>🔴 Red</t>
  </si>
  <si>
    <t>🟠 Amber</t>
  </si>
  <si>
    <t>🟢 Green</t>
  </si>
  <si>
    <t>🟡 Yellow</t>
  </si>
  <si>
    <t xml:space="preserve">Month-End Close Dashboard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</si>
</sst>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rgb="FF82CAEC"/>
      <name val="Aptos Narrow"/>
      <scheme val="minor"/>
    </font>
    <font>
      <b/>
      <sz val="11"/>
      <color rgb="FF000000"/>
      <name val="Aptos Narrow"/>
    </font>
    <font>
      <b/>
      <sz val="11"/>
      <color rgb="FFE49EDD"/>
      <name val="Aptos Narrow"/>
    </font>
    <font>
      <b/>
      <sz val="16"/>
      <name val="Aptos Narrow"/>
    </font>
    <font>
      <b/>
      <sz val="11"/>
      <name val="Aptos Narrow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name val="Aptos Narrow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u/>
      <sz val="13.5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7" fillId="0" borderId="0"/>
  </cellStyleXfs>
  <cellXfs count="3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8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2" fillId="0" borderId="0" xfId="0" applyFont="1"/>
    <xf numFmtId="0" fontId="0" fillId="0" borderId="5" xfId="0" applyBorder="1" applyAlignment="1">
      <alignment horizontal="center"/>
    </xf>
    <xf numFmtId="0" fontId="9" fillId="0" borderId="1" xfId="0" applyFont="1" applyBorder="1"/>
    <xf numFmtId="0" fontId="9" fillId="0" borderId="2" xfId="0" applyFont="1" applyBorder="1" applyAlignment="1">
      <alignment horizontal="center"/>
    </xf>
    <xf numFmtId="0" fontId="10" fillId="0" borderId="2" xfId="0" applyFont="1" applyBorder="1"/>
    <xf numFmtId="0" fontId="11" fillId="0" borderId="2" xfId="0" applyFont="1" applyBorder="1"/>
    <xf numFmtId="0" fontId="9" fillId="0" borderId="3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2" fillId="0" borderId="0" xfId="0" applyFont="1"/>
    <xf numFmtId="0" fontId="15" fillId="0" borderId="10" xfId="0" applyFont="1" applyBorder="1"/>
    <xf numFmtId="0" fontId="13" fillId="0" borderId="11" xfId="0" applyFont="1" applyBorder="1"/>
    <xf numFmtId="0" fontId="1" fillId="0" borderId="11" xfId="0" applyFont="1" applyBorder="1"/>
    <xf numFmtId="0" fontId="1" fillId="0" borderId="12" xfId="0" applyFont="1" applyBorder="1"/>
    <xf numFmtId="0" fontId="15" fillId="0" borderId="10" xfId="0" applyFont="1" applyBorder="1" applyAlignment="1">
      <alignment wrapText="1"/>
    </xf>
    <xf numFmtId="14" fontId="0" fillId="0" borderId="0" xfId="0" applyNumberFormat="1" applyAlignment="1">
      <alignment horizontal="left"/>
    </xf>
    <xf numFmtId="0" fontId="16" fillId="0" borderId="0" xfId="0" applyFont="1"/>
    <xf numFmtId="0" fontId="17" fillId="2" borderId="0" xfId="1" applyFill="1"/>
    <xf numFmtId="0" fontId="17" fillId="0" borderId="0" xfId="1"/>
    <xf numFmtId="0" fontId="18" fillId="0" borderId="0" xfId="0" applyFont="1"/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</cellXfs>
  <cellStyles count="2">
    <cellStyle name="Normal" xfId="0" builtinId="0"/>
    <cellStyle name="Normal 2" xfId="1" xr:uid="{523CC058-10E4-144D-AFF4-91CE39035754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alignment horizontal="left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rmand Slabbert" id="{B918CF8C-16A1-4511-BDDC-B0713B3A4A67}" userId="030cd9d0eed059a1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964334-21BA-4F8A-9B8F-C424F6A5BA95}" name="Table1" displayName="Table1" ref="B2:K22" totalsRowShown="0" headerRowDxfId="11">
  <autoFilter ref="B2:K22" xr:uid="{35964334-21BA-4F8A-9B8F-C424F6A5BA95}"/>
  <tableColumns count="10">
    <tableColumn id="1" xr3:uid="{1A789B72-8D8B-42EF-A272-3DAA1413267B}" name="Task Category"/>
    <tableColumn id="2" xr3:uid="{62E39F68-5EDA-42A1-9C8D-112C21E61420}" name="Task Description"/>
    <tableColumn id="3" xr3:uid="{B4442A28-B0BC-40E4-81E1-3F1ACA4588A1}" name="Owner" dataDxfId="10"/>
    <tableColumn id="4" xr3:uid="{A6355EF2-4EA4-4886-B103-A2FF18345507}" name="Status" dataDxfId="9"/>
    <tableColumn id="8" xr3:uid="{87411A43-5B54-45B1-A539-4F3830F8D9FD}" name="RAG" dataDxfId="8">
      <calculatedColumnFormula>IFERROR(VLOOKUP(E3,Table4[[#All],[Status]:[RAG]],2,FALSE),"")</calculatedColumnFormula>
    </tableColumn>
    <tableColumn id="10" xr3:uid="{E8A7BD03-1D0E-4DDC-80F2-27447CDAE553}" name="Critical Tasks" dataDxfId="7"/>
    <tableColumn id="5" xr3:uid="{D936A9D3-7883-42DD-94C1-30C7EF2620F4}" name="Due Date" dataDxfId="6"/>
    <tableColumn id="6" xr3:uid="{77E62816-5C6C-4AA1-8243-70ED2BBB39CA}" name="Completed Date" dataDxfId="5"/>
    <tableColumn id="7" xr3:uid="{A4605D1D-AE5E-45B7-81FD-F9640E7E7C19}" name="Reviewed By" dataDxfId="4"/>
    <tableColumn id="9" xr3:uid="{B20F487B-B1CF-4121-9D06-8DEF9C22AB94}" name="Notes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185E5F-B21F-412C-9D58-C85604FFB40C}" name="Table4" displayName="Table4" ref="A1:G10" totalsRowShown="0">
  <autoFilter ref="A1:G10" xr:uid="{7E185E5F-B21F-412C-9D58-C85604FFB40C}"/>
  <tableColumns count="7">
    <tableColumn id="1" xr3:uid="{45DB649C-136B-440E-BF82-DD58663858C6}" name="Status"/>
    <tableColumn id="8" xr3:uid="{0149AE97-5950-49F5-A13B-079DFDBCB310}" name="RAG"/>
    <tableColumn id="9" xr3:uid="{F1FA0924-1184-446F-B0C9-082EA349FBEA}" name="Column1"/>
    <tableColumn id="2" xr3:uid="{F8D1D89C-4A1D-4C07-9C7E-E57D6769179B}" name="Applies To"/>
    <tableColumn id="3" xr3:uid="{9F942AF4-5B8C-473F-B16E-464EBFA7917C}" name="Key Assumptions"/>
    <tableColumn id="4" xr3:uid="{A93C5174-D01E-471C-B4EC-A93E30BA538E}" name="Control Requirement"/>
    <tableColumn id="5" xr3:uid="{BB488D69-B54B-4F93-B796-91A2F5482B98}" name="Evidence Required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4D6A05-D3A4-4D13-9CCA-7697BEEBC05A}" name="Table2" displayName="Table2" ref="A1:B23" totalsRowShown="0" headerRowDxfId="3">
  <autoFilter ref="A1:B23" xr:uid="{C14D6A05-D3A4-4D13-9CCA-7697BEEBC05A}"/>
  <tableColumns count="2">
    <tableColumn id="1" xr3:uid="{4A795525-6DE3-4EE8-86D6-48A1055059A4}" name="Owner &amp; Reviewer"/>
    <tableColumn id="2" xr3:uid="{9B931C79-874C-4443-ABCC-2E45AB0F9E61}" name="Job Title" dataDxfId="2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6-02-01T15:17:28.89" personId="{B918CF8C-16A1-4511-BDDC-B0713B3A4A67}" id="{0ADFB5D2-E0F2-4858-95C4-D8D4EDF76F75}">
    <text>Refer to tab Assumptions - STATUS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69EEB-9941-4817-9808-C1560004DE5A}">
  <dimension ref="B5:F32"/>
  <sheetViews>
    <sheetView showGridLines="0" topLeftCell="A6" workbookViewId="0">
      <selection activeCell="B11" sqref="B11"/>
    </sheetView>
  </sheetViews>
  <sheetFormatPr baseColWidth="10" defaultColWidth="8.83203125" defaultRowHeight="15" x14ac:dyDescent="0.2"/>
  <cols>
    <col min="1" max="1" width="1.83203125" customWidth="1"/>
    <col min="2" max="2" width="15.5" customWidth="1"/>
    <col min="3" max="3" width="10.83203125" customWidth="1"/>
    <col min="5" max="5" width="14.6640625" bestFit="1" customWidth="1"/>
    <col min="6" max="6" width="24.1640625" customWidth="1"/>
  </cols>
  <sheetData>
    <row r="5" spans="2:6" ht="63" x14ac:dyDescent="0.75">
      <c r="B5" s="28" t="s">
        <v>170</v>
      </c>
    </row>
    <row r="10" spans="2:6" ht="22" x14ac:dyDescent="0.3">
      <c r="B10" s="34" t="s">
        <v>175</v>
      </c>
      <c r="C10" s="34"/>
      <c r="D10" s="34"/>
      <c r="E10" s="34"/>
      <c r="F10" s="34"/>
    </row>
    <row r="12" spans="2:6" x14ac:dyDescent="0.2">
      <c r="B12" s="1" t="s">
        <v>0</v>
      </c>
      <c r="C12" t="s">
        <v>1</v>
      </c>
    </row>
    <row r="13" spans="2:6" x14ac:dyDescent="0.2">
      <c r="B13" s="1" t="s">
        <v>2</v>
      </c>
      <c r="C13" s="27">
        <v>46059</v>
      </c>
    </row>
    <row r="14" spans="2:6" x14ac:dyDescent="0.2">
      <c r="B14" s="1" t="s">
        <v>3</v>
      </c>
      <c r="C14" t="s">
        <v>4</v>
      </c>
    </row>
    <row r="16" spans="2:6" x14ac:dyDescent="0.2">
      <c r="B16" s="14" t="s">
        <v>5</v>
      </c>
      <c r="C16" s="15" t="s">
        <v>6</v>
      </c>
      <c r="D16" s="16"/>
      <c r="E16" s="17" t="s">
        <v>7</v>
      </c>
      <c r="F16" s="18" t="s">
        <v>6</v>
      </c>
    </row>
    <row r="17" spans="2:6" x14ac:dyDescent="0.2">
      <c r="B17" s="5" t="s">
        <v>171</v>
      </c>
      <c r="C17" s="10">
        <f>COUNTIF(Checklist!F3:F5000,"🔴 Red")</f>
        <v>5</v>
      </c>
      <c r="E17" t="s">
        <v>8</v>
      </c>
      <c r="F17" s="13" t="str">
        <f>CONCATENATE(COUNTIF(Checklist!G3:G5000,"Yes")," Tasks")</f>
        <v>14 Tasks</v>
      </c>
    </row>
    <row r="18" spans="2:6" x14ac:dyDescent="0.2">
      <c r="B18" s="5" t="s">
        <v>172</v>
      </c>
      <c r="C18" s="10">
        <f>COUNTIF(Checklist!F3:F5000,"🟠 Amber")</f>
        <v>6</v>
      </c>
      <c r="E18" t="s">
        <v>9</v>
      </c>
      <c r="F18" s="13" t="str">
        <f>CONCATENATE(COUNTIFS(Checklist!G3:G5000,"Yes",Checklist!F3:F5000,"🔴 Red")," Tasks")</f>
        <v>4 Tasks</v>
      </c>
    </row>
    <row r="19" spans="2:6" x14ac:dyDescent="0.2">
      <c r="B19" s="5" t="s">
        <v>174</v>
      </c>
      <c r="C19" s="10">
        <f>COUNTIF(Checklist!F3:F5000,"🟡 Yellow")</f>
        <v>1</v>
      </c>
      <c r="E19" t="s">
        <v>10</v>
      </c>
      <c r="F19" s="13" t="str">
        <f>CONCATENATE(COUNTIFS(Checklist!G3:G5000,"Yes",Checklist!F3:F5000,"🟠 Amber")," Tasks")</f>
        <v>5 Tasks</v>
      </c>
    </row>
    <row r="20" spans="2:6" x14ac:dyDescent="0.2">
      <c r="B20" s="5" t="s">
        <v>173</v>
      </c>
      <c r="C20" s="10">
        <f>COUNTIF(Checklist!F2:F4999,"🟢 Green")</f>
        <v>8</v>
      </c>
      <c r="F20" s="6"/>
    </row>
    <row r="21" spans="2:6" x14ac:dyDescent="0.2">
      <c r="B21" s="7"/>
      <c r="C21" s="11">
        <f>SUM(C17:C20)</f>
        <v>20</v>
      </c>
      <c r="D21" s="8"/>
      <c r="E21" s="8"/>
      <c r="F21" s="9"/>
    </row>
    <row r="22" spans="2:6" x14ac:dyDescent="0.2">
      <c r="C22" s="10"/>
    </row>
    <row r="23" spans="2:6" x14ac:dyDescent="0.2">
      <c r="B23" s="4" t="s">
        <v>11</v>
      </c>
    </row>
    <row r="24" spans="2:6" x14ac:dyDescent="0.2">
      <c r="B24" t="s">
        <v>12</v>
      </c>
    </row>
    <row r="25" spans="2:6" x14ac:dyDescent="0.2">
      <c r="B25" t="s">
        <v>13</v>
      </c>
    </row>
    <row r="26" spans="2:6" x14ac:dyDescent="0.2">
      <c r="B26" t="s">
        <v>14</v>
      </c>
    </row>
    <row r="27" spans="2:6" x14ac:dyDescent="0.2">
      <c r="B27" t="s">
        <v>15</v>
      </c>
    </row>
    <row r="32" spans="2:6" ht="24" x14ac:dyDescent="0.3">
      <c r="B32" s="21"/>
    </row>
  </sheetData>
  <mergeCells count="1">
    <mergeCell ref="B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39997558519241921"/>
  </sheetPr>
  <dimension ref="B1:M27"/>
  <sheetViews>
    <sheetView showGridLines="0" tabSelected="1" workbookViewId="0">
      <selection activeCell="C15" sqref="C15"/>
    </sheetView>
  </sheetViews>
  <sheetFormatPr baseColWidth="10" defaultColWidth="8.83203125" defaultRowHeight="15" x14ac:dyDescent="0.2"/>
  <cols>
    <col min="1" max="1" width="2.1640625" customWidth="1"/>
    <col min="2" max="2" width="15.5" bestFit="1" customWidth="1"/>
    <col min="3" max="3" width="43.33203125" bestFit="1" customWidth="1"/>
    <col min="4" max="5" width="18.1640625" customWidth="1"/>
    <col min="6" max="6" width="11.5" bestFit="1" customWidth="1"/>
    <col min="7" max="7" width="14.5" customWidth="1"/>
    <col min="8" max="9" width="16.83203125" style="10" customWidth="1"/>
    <col min="10" max="10" width="18.5" customWidth="1"/>
    <col min="11" max="11" width="37.1640625" customWidth="1"/>
  </cols>
  <sheetData>
    <row r="1" spans="2:13" ht="49.5" customHeight="1" x14ac:dyDescent="0.2">
      <c r="D1" s="3" t="s">
        <v>16</v>
      </c>
      <c r="E1" s="2" t="s">
        <v>17</v>
      </c>
    </row>
    <row r="2" spans="2:13" s="19" customFormat="1" ht="16" x14ac:dyDescent="0.2">
      <c r="B2" s="19" t="s">
        <v>18</v>
      </c>
      <c r="C2" s="19" t="s">
        <v>19</v>
      </c>
      <c r="D2" s="19" t="s">
        <v>20</v>
      </c>
      <c r="E2" s="19" t="s">
        <v>21</v>
      </c>
      <c r="F2" s="19" t="s">
        <v>5</v>
      </c>
      <c r="G2" s="20" t="s">
        <v>7</v>
      </c>
      <c r="H2" s="19" t="s">
        <v>22</v>
      </c>
      <c r="I2" s="19" t="s">
        <v>23</v>
      </c>
      <c r="J2" s="19" t="s">
        <v>24</v>
      </c>
      <c r="K2" s="19" t="s">
        <v>25</v>
      </c>
    </row>
    <row r="3" spans="2:13" ht="16" x14ac:dyDescent="0.2">
      <c r="B3" t="s">
        <v>26</v>
      </c>
      <c r="C3" t="s">
        <v>27</v>
      </c>
      <c r="D3" s="31" t="s">
        <v>28</v>
      </c>
      <c r="E3" s="32" t="s">
        <v>29</v>
      </c>
      <c r="F3" s="31" t="str">
        <f>IFERROR(VLOOKUP(E3,Table4[[#All],[Status]:[RAG]],2,FALSE),"")</f>
        <v>🔴 Red</v>
      </c>
      <c r="G3" s="31" t="s">
        <v>30</v>
      </c>
      <c r="H3" s="33">
        <v>46055</v>
      </c>
      <c r="I3" s="33">
        <v>46081</v>
      </c>
      <c r="J3" s="31" t="s">
        <v>28</v>
      </c>
      <c r="M3" t="str">
        <f>IFERROR(VLOOKUP(E3,'Assumptions - STATUS'!B2:B10,2,FALSE),"")</f>
        <v/>
      </c>
    </row>
    <row r="4" spans="2:13" x14ac:dyDescent="0.2">
      <c r="B4" t="s">
        <v>26</v>
      </c>
      <c r="C4" t="s">
        <v>31</v>
      </c>
      <c r="D4" s="31" t="s">
        <v>32</v>
      </c>
      <c r="E4" s="31" t="s">
        <v>33</v>
      </c>
      <c r="F4" s="31" t="str">
        <f>IFERROR(VLOOKUP(E4,Table4[[#All],[Status]:[RAG]],2,FALSE),"")</f>
        <v>🟠 Amber</v>
      </c>
      <c r="G4" s="31" t="s">
        <v>30</v>
      </c>
      <c r="H4" s="33">
        <v>46055</v>
      </c>
      <c r="I4" s="33">
        <v>46081</v>
      </c>
      <c r="J4" s="31" t="s">
        <v>32</v>
      </c>
    </row>
    <row r="5" spans="2:13" x14ac:dyDescent="0.2">
      <c r="B5" t="s">
        <v>34</v>
      </c>
      <c r="C5" t="s">
        <v>35</v>
      </c>
      <c r="D5" s="31" t="s">
        <v>36</v>
      </c>
      <c r="E5" s="31" t="s">
        <v>37</v>
      </c>
      <c r="F5" s="31" t="str">
        <f>IFERROR(VLOOKUP(E5,Table4[[#All],[Status]:[RAG]],2,FALSE),"")</f>
        <v>🟢 Green</v>
      </c>
      <c r="G5" s="31" t="s">
        <v>38</v>
      </c>
      <c r="H5" s="33">
        <v>46055</v>
      </c>
      <c r="I5" s="33">
        <v>46081</v>
      </c>
      <c r="J5" s="31" t="s">
        <v>36</v>
      </c>
    </row>
    <row r="6" spans="2:13" ht="16" x14ac:dyDescent="0.2">
      <c r="B6" t="s">
        <v>34</v>
      </c>
      <c r="C6" t="s">
        <v>39</v>
      </c>
      <c r="D6" s="31" t="s">
        <v>40</v>
      </c>
      <c r="E6" s="32" t="s">
        <v>29</v>
      </c>
      <c r="F6" s="31" t="str">
        <f>IFERROR(VLOOKUP(E6,Table4[[#All],[Status]:[RAG]],2,FALSE),"")</f>
        <v>🔴 Red</v>
      </c>
      <c r="G6" s="31" t="s">
        <v>30</v>
      </c>
      <c r="H6" s="33">
        <v>46055</v>
      </c>
      <c r="I6" s="33">
        <v>46081</v>
      </c>
      <c r="J6" s="31" t="s">
        <v>40</v>
      </c>
    </row>
    <row r="7" spans="2:13" x14ac:dyDescent="0.2">
      <c r="B7" t="s">
        <v>41</v>
      </c>
      <c r="C7" t="s">
        <v>42</v>
      </c>
      <c r="D7" s="31" t="s">
        <v>43</v>
      </c>
      <c r="E7" s="31" t="s">
        <v>33</v>
      </c>
      <c r="F7" s="31" t="str">
        <f>IFERROR(VLOOKUP(E7,Table4[[#All],[Status]:[RAG]],2,FALSE),"")</f>
        <v>🟠 Amber</v>
      </c>
      <c r="G7" s="31" t="s">
        <v>30</v>
      </c>
      <c r="H7" s="33">
        <v>46055</v>
      </c>
      <c r="I7" s="33">
        <v>46081</v>
      </c>
      <c r="J7" s="31" t="s">
        <v>43</v>
      </c>
    </row>
    <row r="8" spans="2:13" x14ac:dyDescent="0.2">
      <c r="B8" t="s">
        <v>41</v>
      </c>
      <c r="C8" t="s">
        <v>44</v>
      </c>
      <c r="D8" s="31" t="s">
        <v>45</v>
      </c>
      <c r="E8" s="31" t="s">
        <v>37</v>
      </c>
      <c r="F8" s="31" t="str">
        <f>IFERROR(VLOOKUP(E8,Table4[[#All],[Status]:[RAG]],2,FALSE),"")</f>
        <v>🟢 Green</v>
      </c>
      <c r="G8" s="31" t="s">
        <v>30</v>
      </c>
      <c r="H8" s="33">
        <v>46055</v>
      </c>
      <c r="I8" s="33">
        <v>46081</v>
      </c>
      <c r="J8" s="31" t="s">
        <v>45</v>
      </c>
    </row>
    <row r="9" spans="2:13" ht="16" x14ac:dyDescent="0.2">
      <c r="B9" t="s">
        <v>46</v>
      </c>
      <c r="C9" t="s">
        <v>47</v>
      </c>
      <c r="D9" s="31" t="s">
        <v>48</v>
      </c>
      <c r="E9" s="32" t="s">
        <v>29</v>
      </c>
      <c r="F9" s="31" t="str">
        <f>IFERROR(VLOOKUP(E9,Table4[[#All],[Status]:[RAG]],2,FALSE),"")</f>
        <v>🔴 Red</v>
      </c>
      <c r="G9" s="31" t="s">
        <v>30</v>
      </c>
      <c r="H9" s="33">
        <v>46055</v>
      </c>
      <c r="I9" s="33">
        <v>46081</v>
      </c>
      <c r="J9" s="31" t="s">
        <v>48</v>
      </c>
    </row>
    <row r="10" spans="2:13" x14ac:dyDescent="0.2">
      <c r="B10" t="s">
        <v>46</v>
      </c>
      <c r="C10" t="s">
        <v>49</v>
      </c>
      <c r="D10" s="31" t="s">
        <v>50</v>
      </c>
      <c r="E10" s="31" t="s">
        <v>51</v>
      </c>
      <c r="F10" s="31" t="str">
        <f>IFERROR(VLOOKUP(E10,Table4[[#All],[Status]:[RAG]],2,FALSE),"")</f>
        <v>🟠 Amber</v>
      </c>
      <c r="G10" s="31" t="s">
        <v>38</v>
      </c>
      <c r="H10" s="33">
        <v>46055</v>
      </c>
      <c r="I10" s="33">
        <v>46081</v>
      </c>
      <c r="J10" s="31" t="s">
        <v>50</v>
      </c>
    </row>
    <row r="11" spans="2:13" x14ac:dyDescent="0.2">
      <c r="B11" t="s">
        <v>52</v>
      </c>
      <c r="C11" t="s">
        <v>53</v>
      </c>
      <c r="D11" s="31" t="s">
        <v>54</v>
      </c>
      <c r="E11" s="31" t="s">
        <v>37</v>
      </c>
      <c r="F11" s="31" t="str">
        <f>IFERROR(VLOOKUP(E11,Table4[[#All],[Status]:[RAG]],2,FALSE),"")</f>
        <v>🟢 Green</v>
      </c>
      <c r="G11" s="31" t="s">
        <v>30</v>
      </c>
      <c r="H11" s="33">
        <v>46055</v>
      </c>
      <c r="I11" s="33">
        <v>46081</v>
      </c>
      <c r="J11" s="31" t="s">
        <v>54</v>
      </c>
    </row>
    <row r="12" spans="2:13" ht="16" x14ac:dyDescent="0.2">
      <c r="B12" t="s">
        <v>52</v>
      </c>
      <c r="C12" t="s">
        <v>55</v>
      </c>
      <c r="D12" s="31" t="s">
        <v>56</v>
      </c>
      <c r="E12" s="32" t="s">
        <v>29</v>
      </c>
      <c r="F12" s="31" t="str">
        <f>IFERROR(VLOOKUP(E12,Table4[[#All],[Status]:[RAG]],2,FALSE),"")</f>
        <v>🔴 Red</v>
      </c>
      <c r="G12" s="31" t="s">
        <v>38</v>
      </c>
      <c r="H12" s="33">
        <v>46055</v>
      </c>
      <c r="I12" s="33">
        <v>46081</v>
      </c>
      <c r="J12" s="31" t="s">
        <v>56</v>
      </c>
    </row>
    <row r="13" spans="2:13" x14ac:dyDescent="0.2">
      <c r="B13" t="s">
        <v>57</v>
      </c>
      <c r="C13" t="s">
        <v>58</v>
      </c>
      <c r="D13" s="31" t="s">
        <v>59</v>
      </c>
      <c r="E13" s="31" t="s">
        <v>60</v>
      </c>
      <c r="F13" s="31" t="str">
        <f>IFERROR(VLOOKUP(E13,Table4[[#All],[Status]:[RAG]],2,FALSE),"")</f>
        <v>🟡 Yellow</v>
      </c>
      <c r="G13" s="31" t="s">
        <v>30</v>
      </c>
      <c r="H13" s="33">
        <v>46055</v>
      </c>
      <c r="I13" s="33">
        <v>46081</v>
      </c>
      <c r="J13" s="31" t="s">
        <v>59</v>
      </c>
    </row>
    <row r="14" spans="2:13" x14ac:dyDescent="0.2">
      <c r="B14" t="s">
        <v>57</v>
      </c>
      <c r="C14" t="s">
        <v>61</v>
      </c>
      <c r="D14" s="31" t="s">
        <v>62</v>
      </c>
      <c r="E14" s="31" t="s">
        <v>37</v>
      </c>
      <c r="F14" s="31" t="str">
        <f>IFERROR(VLOOKUP(E14,Table4[[#All],[Status]:[RAG]],2,FALSE),"")</f>
        <v>🟢 Green</v>
      </c>
      <c r="G14" s="31" t="s">
        <v>30</v>
      </c>
      <c r="H14" s="33">
        <v>46055</v>
      </c>
      <c r="I14" s="33">
        <v>46081</v>
      </c>
      <c r="J14" s="31" t="s">
        <v>62</v>
      </c>
    </row>
    <row r="15" spans="2:13" ht="16" x14ac:dyDescent="0.2">
      <c r="B15" t="s">
        <v>63</v>
      </c>
      <c r="C15" t="s">
        <v>64</v>
      </c>
      <c r="D15" s="31" t="s">
        <v>65</v>
      </c>
      <c r="E15" s="32" t="s">
        <v>51</v>
      </c>
      <c r="F15" s="31" t="str">
        <f>IFERROR(VLOOKUP(E15,Table4[[#All],[Status]:[RAG]],2,FALSE),"")</f>
        <v>🟠 Amber</v>
      </c>
      <c r="G15" s="31" t="s">
        <v>30</v>
      </c>
      <c r="H15" s="33">
        <v>46055</v>
      </c>
      <c r="I15" s="33">
        <v>46081</v>
      </c>
      <c r="J15" s="31" t="s">
        <v>65</v>
      </c>
    </row>
    <row r="16" spans="2:13" x14ac:dyDescent="0.2">
      <c r="B16" t="s">
        <v>63</v>
      </c>
      <c r="C16" t="s">
        <v>66</v>
      </c>
      <c r="D16" s="31" t="s">
        <v>67</v>
      </c>
      <c r="E16" s="31" t="s">
        <v>33</v>
      </c>
      <c r="F16" s="31" t="str">
        <f>IFERROR(VLOOKUP(E16,Table4[[#All],[Status]:[RAG]],2,FALSE),"")</f>
        <v>🟠 Amber</v>
      </c>
      <c r="G16" s="31" t="s">
        <v>30</v>
      </c>
      <c r="H16" s="33">
        <v>46055</v>
      </c>
      <c r="I16" s="33">
        <v>46081</v>
      </c>
      <c r="J16" s="31" t="s">
        <v>67</v>
      </c>
    </row>
    <row r="17" spans="2:10" x14ac:dyDescent="0.2">
      <c r="B17" t="s">
        <v>68</v>
      </c>
      <c r="C17" t="s">
        <v>69</v>
      </c>
      <c r="D17" s="31" t="s">
        <v>70</v>
      </c>
      <c r="E17" s="31" t="s">
        <v>37</v>
      </c>
      <c r="F17" s="31" t="str">
        <f>IFERROR(VLOOKUP(E17,Table4[[#All],[Status]:[RAG]],2,FALSE),"")</f>
        <v>🟢 Green</v>
      </c>
      <c r="G17" s="31" t="s">
        <v>38</v>
      </c>
      <c r="H17" s="33">
        <v>46055</v>
      </c>
      <c r="I17" s="33">
        <v>46081</v>
      </c>
      <c r="J17" s="31" t="s">
        <v>70</v>
      </c>
    </row>
    <row r="18" spans="2:10" ht="16" x14ac:dyDescent="0.2">
      <c r="B18" t="s">
        <v>68</v>
      </c>
      <c r="C18" t="s">
        <v>71</v>
      </c>
      <c r="D18" s="31" t="s">
        <v>72</v>
      </c>
      <c r="E18" s="32" t="s">
        <v>29</v>
      </c>
      <c r="F18" s="31" t="str">
        <f>IFERROR(VLOOKUP(E18,Table4[[#All],[Status]:[RAG]],2,FALSE),"")</f>
        <v>🔴 Red</v>
      </c>
      <c r="G18" s="31" t="s">
        <v>30</v>
      </c>
      <c r="H18" s="33">
        <v>46055</v>
      </c>
      <c r="I18" s="33">
        <v>46081</v>
      </c>
      <c r="J18" s="31" t="s">
        <v>72</v>
      </c>
    </row>
    <row r="19" spans="2:10" x14ac:dyDescent="0.2">
      <c r="B19" t="s">
        <v>73</v>
      </c>
      <c r="C19" t="s">
        <v>74</v>
      </c>
      <c r="D19" s="31" t="s">
        <v>75</v>
      </c>
      <c r="E19" s="31" t="s">
        <v>33</v>
      </c>
      <c r="F19" s="31" t="str">
        <f>IFERROR(VLOOKUP(E19,Table4[[#All],[Status]:[RAG]],2,FALSE),"")</f>
        <v>🟠 Amber</v>
      </c>
      <c r="G19" s="31" t="s">
        <v>30</v>
      </c>
      <c r="H19" s="33">
        <v>46055</v>
      </c>
      <c r="I19" s="33">
        <v>46081</v>
      </c>
      <c r="J19" s="31" t="s">
        <v>75</v>
      </c>
    </row>
    <row r="20" spans="2:10" x14ac:dyDescent="0.2">
      <c r="B20" t="s">
        <v>73</v>
      </c>
      <c r="C20" t="s">
        <v>76</v>
      </c>
      <c r="D20" s="31" t="s">
        <v>77</v>
      </c>
      <c r="E20" s="31" t="s">
        <v>37</v>
      </c>
      <c r="F20" s="31" t="str">
        <f>IFERROR(VLOOKUP(E20,Table4[[#All],[Status]:[RAG]],2,FALSE),"")</f>
        <v>🟢 Green</v>
      </c>
      <c r="G20" s="31" t="s">
        <v>30</v>
      </c>
      <c r="H20" s="33">
        <v>46055</v>
      </c>
      <c r="I20" s="33">
        <v>46081</v>
      </c>
      <c r="J20" s="31" t="s">
        <v>77</v>
      </c>
    </row>
    <row r="21" spans="2:10" x14ac:dyDescent="0.2">
      <c r="B21" t="s">
        <v>78</v>
      </c>
      <c r="C21" t="s">
        <v>79</v>
      </c>
      <c r="D21" s="31" t="s">
        <v>80</v>
      </c>
      <c r="E21" s="31" t="s">
        <v>37</v>
      </c>
      <c r="F21" s="31" t="str">
        <f>IFERROR(VLOOKUP(E21,Table4[[#All],[Status]:[RAG]],2,FALSE),"")</f>
        <v>🟢 Green</v>
      </c>
      <c r="G21" s="31" t="s">
        <v>38</v>
      </c>
      <c r="H21" s="33">
        <v>46055</v>
      </c>
      <c r="I21" s="33">
        <v>46081</v>
      </c>
      <c r="J21" s="31" t="s">
        <v>80</v>
      </c>
    </row>
    <row r="22" spans="2:10" x14ac:dyDescent="0.2">
      <c r="B22" t="s">
        <v>78</v>
      </c>
      <c r="C22" t="s">
        <v>81</v>
      </c>
      <c r="D22" s="31" t="s">
        <v>82</v>
      </c>
      <c r="E22" s="31" t="s">
        <v>37</v>
      </c>
      <c r="F22" s="31" t="str">
        <f>IFERROR(VLOOKUP(E22,Table4[[#All],[Status]:[RAG]],2,FALSE),"")</f>
        <v>🟢 Green</v>
      </c>
      <c r="G22" s="31" t="s">
        <v>38</v>
      </c>
      <c r="H22" s="33">
        <v>46055</v>
      </c>
      <c r="I22" s="33">
        <v>46081</v>
      </c>
      <c r="J22" s="31" t="s">
        <v>82</v>
      </c>
    </row>
    <row r="25" spans="2:10" x14ac:dyDescent="0.2">
      <c r="H25"/>
      <c r="I25"/>
    </row>
    <row r="26" spans="2:10" x14ac:dyDescent="0.2">
      <c r="H26"/>
      <c r="I26"/>
    </row>
    <row r="27" spans="2:10" x14ac:dyDescent="0.2">
      <c r="H27"/>
      <c r="I27"/>
    </row>
  </sheetData>
  <conditionalFormatting sqref="D3:D22">
    <cfRule type="containsText" dxfId="1" priority="4" operator="containsText" text="Select">
      <formula>NOT(ISERROR(SEARCH("Select",D3)))</formula>
    </cfRule>
  </conditionalFormatting>
  <conditionalFormatting sqref="J3:J22">
    <cfRule type="containsText" dxfId="0" priority="3" operator="containsText" text="Select">
      <formula>NOT(ISERROR(SEARCH("Select",J3)))</formula>
    </cfRule>
  </conditionalFormatting>
  <dataValidations count="2">
    <dataValidation type="list" allowBlank="1" showInputMessage="1" showErrorMessage="1" sqref="G3:G22" xr:uid="{2F4927B9-D492-409A-ACAD-82419190BE46}">
      <formula1>"Yes,No"</formula1>
    </dataValidation>
    <dataValidation allowBlank="1" showInputMessage="1" showErrorMessage="1" sqref="F3:F22" xr:uid="{7449C19B-777A-4C83-B7DA-66E7B7853F3D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ABE98EF-7B35-4D80-A6D1-C7B81D3BC1FF}">
          <x14:formula1>
            <xm:f>'Assumptions - EMPLOYEE'!$A$2:$A$23</xm:f>
          </x14:formula1>
          <xm:sqref>J3:K22</xm:sqref>
        </x14:dataValidation>
        <x14:dataValidation type="list" allowBlank="1" showInputMessage="1" showErrorMessage="1" xr:uid="{05E79EE2-AF17-4649-A1F6-C4BDA4217C00}">
          <x14:formula1>
            <xm:f>'Assumptions - EMPLOYEE'!$A$2:$A$2300</xm:f>
          </x14:formula1>
          <xm:sqref>D3:D22</xm:sqref>
        </x14:dataValidation>
        <x14:dataValidation type="list" allowBlank="1" showInputMessage="1" showErrorMessage="1" xr:uid="{2A6B819C-B0F4-410D-A577-1DD081EDA648}">
          <x14:formula1>
            <xm:f>'Assumptions - STATUS'!$A$2:$A$10</xm:f>
          </x14:formula1>
          <xm:sqref>E3:E22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3EC41-4B61-48F2-9DBE-29FC5FD5655E}">
  <sheetPr>
    <tabColor theme="7" tint="0.39997558519241921"/>
  </sheetPr>
  <dimension ref="A1:G10"/>
  <sheetViews>
    <sheetView showGridLines="0" workbookViewId="0">
      <selection activeCell="B9" activeCellId="3" sqref="B2 B5 B3 B9"/>
    </sheetView>
  </sheetViews>
  <sheetFormatPr baseColWidth="10" defaultColWidth="8.83203125" defaultRowHeight="15" x14ac:dyDescent="0.2"/>
  <cols>
    <col min="1" max="1" width="18.1640625" bestFit="1" customWidth="1"/>
    <col min="2" max="2" width="11.5" bestFit="1" customWidth="1"/>
    <col min="3" max="3" width="11.5" customWidth="1"/>
    <col min="4" max="4" width="30.1640625" bestFit="1" customWidth="1"/>
    <col min="5" max="5" width="50.33203125" bestFit="1" customWidth="1"/>
    <col min="6" max="6" width="44.83203125" bestFit="1" customWidth="1"/>
    <col min="7" max="7" width="39.33203125" bestFit="1" customWidth="1"/>
  </cols>
  <sheetData>
    <row r="1" spans="1:7" x14ac:dyDescent="0.2">
      <c r="A1" t="s">
        <v>21</v>
      </c>
      <c r="B1" t="s">
        <v>5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spans="1:7" x14ac:dyDescent="0.2">
      <c r="A2" t="s">
        <v>29</v>
      </c>
      <c r="B2" s="29" t="s">
        <v>171</v>
      </c>
      <c r="C2" t="s">
        <v>38</v>
      </c>
      <c r="D2" t="s">
        <v>88</v>
      </c>
      <c r="E2" t="s">
        <v>89</v>
      </c>
      <c r="F2" t="s">
        <v>90</v>
      </c>
      <c r="G2" t="s">
        <v>91</v>
      </c>
    </row>
    <row r="3" spans="1:7" x14ac:dyDescent="0.2">
      <c r="A3" t="s">
        <v>33</v>
      </c>
      <c r="B3" s="30" t="s">
        <v>172</v>
      </c>
      <c r="C3" t="s">
        <v>30</v>
      </c>
      <c r="D3" t="s">
        <v>92</v>
      </c>
      <c r="E3" t="s">
        <v>93</v>
      </c>
      <c r="F3" t="s">
        <v>94</v>
      </c>
      <c r="G3" t="s">
        <v>95</v>
      </c>
    </row>
    <row r="4" spans="1:7" x14ac:dyDescent="0.2">
      <c r="A4" t="s">
        <v>51</v>
      </c>
      <c r="B4" s="30" t="s">
        <v>172</v>
      </c>
      <c r="C4" t="s">
        <v>38</v>
      </c>
      <c r="D4" t="s">
        <v>96</v>
      </c>
      <c r="E4" t="s">
        <v>97</v>
      </c>
      <c r="F4" t="s">
        <v>98</v>
      </c>
      <c r="G4" t="s">
        <v>99</v>
      </c>
    </row>
    <row r="5" spans="1:7" x14ac:dyDescent="0.2">
      <c r="A5" t="s">
        <v>60</v>
      </c>
      <c r="B5" t="s">
        <v>174</v>
      </c>
      <c r="C5" t="s">
        <v>38</v>
      </c>
      <c r="D5" t="s">
        <v>100</v>
      </c>
      <c r="E5" t="s">
        <v>101</v>
      </c>
      <c r="F5" t="s">
        <v>102</v>
      </c>
      <c r="G5" t="s">
        <v>103</v>
      </c>
    </row>
    <row r="6" spans="1:7" x14ac:dyDescent="0.2">
      <c r="A6" t="s">
        <v>104</v>
      </c>
      <c r="B6" t="s">
        <v>174</v>
      </c>
      <c r="C6" t="s">
        <v>30</v>
      </c>
      <c r="D6" t="s">
        <v>105</v>
      </c>
      <c r="E6" t="s">
        <v>106</v>
      </c>
      <c r="F6" t="s">
        <v>107</v>
      </c>
      <c r="G6" t="s">
        <v>108</v>
      </c>
    </row>
    <row r="7" spans="1:7" x14ac:dyDescent="0.2">
      <c r="A7" t="s">
        <v>109</v>
      </c>
      <c r="B7" t="s">
        <v>174</v>
      </c>
      <c r="C7" t="s">
        <v>30</v>
      </c>
      <c r="D7" t="s">
        <v>110</v>
      </c>
      <c r="E7" t="s">
        <v>111</v>
      </c>
      <c r="F7" t="s">
        <v>112</v>
      </c>
      <c r="G7" t="s">
        <v>113</v>
      </c>
    </row>
    <row r="8" spans="1:7" x14ac:dyDescent="0.2">
      <c r="A8" t="s">
        <v>114</v>
      </c>
      <c r="B8" t="s">
        <v>174</v>
      </c>
      <c r="C8" t="s">
        <v>30</v>
      </c>
      <c r="D8" t="s">
        <v>115</v>
      </c>
      <c r="E8" t="s">
        <v>116</v>
      </c>
      <c r="F8" t="s">
        <v>117</v>
      </c>
      <c r="G8" t="s">
        <v>118</v>
      </c>
    </row>
    <row r="9" spans="1:7" x14ac:dyDescent="0.2">
      <c r="A9" t="s">
        <v>119</v>
      </c>
      <c r="B9" t="s">
        <v>173</v>
      </c>
      <c r="C9" t="s">
        <v>38</v>
      </c>
      <c r="D9" t="s">
        <v>88</v>
      </c>
      <c r="E9" t="s">
        <v>120</v>
      </c>
      <c r="F9" t="s">
        <v>121</v>
      </c>
      <c r="G9" t="s">
        <v>122</v>
      </c>
    </row>
    <row r="10" spans="1:7" x14ac:dyDescent="0.2">
      <c r="A10" t="s">
        <v>37</v>
      </c>
      <c r="B10" t="s">
        <v>173</v>
      </c>
      <c r="C10" t="s">
        <v>38</v>
      </c>
      <c r="D10" t="s">
        <v>123</v>
      </c>
      <c r="E10" t="s">
        <v>124</v>
      </c>
      <c r="F10" t="s">
        <v>125</v>
      </c>
      <c r="G10" t="s">
        <v>126</v>
      </c>
    </row>
  </sheetData>
  <dataValidations count="1">
    <dataValidation type="list" allowBlank="1" showInputMessage="1" showErrorMessage="1" sqref="C2:C10" xr:uid="{0E9C2991-8AA6-4326-8011-0238025A79B5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CFD9A-FF90-4E8F-B0C0-CFBDC3EFB926}">
  <sheetPr>
    <tabColor theme="8" tint="0.59999389629810485"/>
  </sheetPr>
  <dimension ref="A1:B23"/>
  <sheetViews>
    <sheetView showGridLines="0" workbookViewId="0">
      <selection activeCell="A5" sqref="A5"/>
    </sheetView>
  </sheetViews>
  <sheetFormatPr baseColWidth="10" defaultColWidth="8.83203125" defaultRowHeight="15" x14ac:dyDescent="0.2"/>
  <cols>
    <col min="1" max="1" width="26.6640625" customWidth="1"/>
    <col min="2" max="2" width="29" bestFit="1" customWidth="1"/>
    <col min="6" max="6" width="9.33203125" bestFit="1" customWidth="1"/>
  </cols>
  <sheetData>
    <row r="1" spans="1:2" x14ac:dyDescent="0.2">
      <c r="A1" s="1" t="s">
        <v>127</v>
      </c>
      <c r="B1" s="1" t="s">
        <v>128</v>
      </c>
    </row>
    <row r="2" spans="1:2" x14ac:dyDescent="0.2">
      <c r="A2" t="s">
        <v>28</v>
      </c>
      <c r="B2" s="12" t="s">
        <v>129</v>
      </c>
    </row>
    <row r="3" spans="1:2" x14ac:dyDescent="0.2">
      <c r="A3" t="s">
        <v>32</v>
      </c>
      <c r="B3" s="12" t="s">
        <v>130</v>
      </c>
    </row>
    <row r="4" spans="1:2" x14ac:dyDescent="0.2">
      <c r="A4" t="s">
        <v>36</v>
      </c>
      <c r="B4" s="12" t="s">
        <v>131</v>
      </c>
    </row>
    <row r="5" spans="1:2" x14ac:dyDescent="0.2">
      <c r="A5" t="s">
        <v>40</v>
      </c>
      <c r="B5" s="12" t="s">
        <v>132</v>
      </c>
    </row>
    <row r="6" spans="1:2" x14ac:dyDescent="0.2">
      <c r="A6" t="s">
        <v>43</v>
      </c>
      <c r="B6" s="12" t="s">
        <v>133</v>
      </c>
    </row>
    <row r="7" spans="1:2" x14ac:dyDescent="0.2">
      <c r="A7" t="s">
        <v>45</v>
      </c>
      <c r="B7" s="12" t="s">
        <v>134</v>
      </c>
    </row>
    <row r="8" spans="1:2" x14ac:dyDescent="0.2">
      <c r="A8" t="s">
        <v>48</v>
      </c>
      <c r="B8" s="12" t="s">
        <v>135</v>
      </c>
    </row>
    <row r="9" spans="1:2" x14ac:dyDescent="0.2">
      <c r="A9" t="s">
        <v>50</v>
      </c>
      <c r="B9" s="12" t="s">
        <v>136</v>
      </c>
    </row>
    <row r="10" spans="1:2" x14ac:dyDescent="0.2">
      <c r="A10" t="s">
        <v>54</v>
      </c>
      <c r="B10" s="12" t="s">
        <v>137</v>
      </c>
    </row>
    <row r="11" spans="1:2" x14ac:dyDescent="0.2">
      <c r="A11" t="s">
        <v>56</v>
      </c>
      <c r="B11" s="12" t="s">
        <v>138</v>
      </c>
    </row>
    <row r="12" spans="1:2" x14ac:dyDescent="0.2">
      <c r="A12" t="s">
        <v>59</v>
      </c>
      <c r="B12" s="12" t="s">
        <v>139</v>
      </c>
    </row>
    <row r="13" spans="1:2" x14ac:dyDescent="0.2">
      <c r="A13" t="s">
        <v>62</v>
      </c>
      <c r="B13" s="12" t="s">
        <v>140</v>
      </c>
    </row>
    <row r="14" spans="1:2" x14ac:dyDescent="0.2">
      <c r="A14" t="s">
        <v>65</v>
      </c>
      <c r="B14" s="12" t="s">
        <v>141</v>
      </c>
    </row>
    <row r="15" spans="1:2" x14ac:dyDescent="0.2">
      <c r="A15" t="s">
        <v>67</v>
      </c>
      <c r="B15" s="12" t="s">
        <v>142</v>
      </c>
    </row>
    <row r="16" spans="1:2" x14ac:dyDescent="0.2">
      <c r="A16" t="s">
        <v>70</v>
      </c>
      <c r="B16" s="12" t="s">
        <v>143</v>
      </c>
    </row>
    <row r="17" spans="1:2" x14ac:dyDescent="0.2">
      <c r="A17" t="s">
        <v>72</v>
      </c>
      <c r="B17" s="12" t="s">
        <v>144</v>
      </c>
    </row>
    <row r="18" spans="1:2" x14ac:dyDescent="0.2">
      <c r="A18" t="s">
        <v>75</v>
      </c>
      <c r="B18" s="12" t="s">
        <v>145</v>
      </c>
    </row>
    <row r="19" spans="1:2" x14ac:dyDescent="0.2">
      <c r="A19" t="s">
        <v>77</v>
      </c>
      <c r="B19" s="12" t="s">
        <v>146</v>
      </c>
    </row>
    <row r="20" spans="1:2" x14ac:dyDescent="0.2">
      <c r="A20" t="s">
        <v>80</v>
      </c>
      <c r="B20" s="12" t="s">
        <v>147</v>
      </c>
    </row>
    <row r="21" spans="1:2" x14ac:dyDescent="0.2">
      <c r="A21" t="s">
        <v>82</v>
      </c>
      <c r="B21" s="12" t="s">
        <v>148</v>
      </c>
    </row>
    <row r="22" spans="1:2" x14ac:dyDescent="0.2">
      <c r="A22" t="s">
        <v>149</v>
      </c>
      <c r="B22" s="12" t="s">
        <v>150</v>
      </c>
    </row>
    <row r="23" spans="1:2" x14ac:dyDescent="0.2">
      <c r="A23" t="s">
        <v>151</v>
      </c>
      <c r="B23" s="12" t="s">
        <v>152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0E33-0986-419B-B0C8-545814188965}">
  <dimension ref="B2:B26"/>
  <sheetViews>
    <sheetView showGridLines="0" workbookViewId="0">
      <selection activeCell="E14" sqref="E14"/>
    </sheetView>
  </sheetViews>
  <sheetFormatPr baseColWidth="10" defaultColWidth="8.83203125" defaultRowHeight="15" x14ac:dyDescent="0.2"/>
  <cols>
    <col min="2" max="2" width="57.5" bestFit="1" customWidth="1"/>
  </cols>
  <sheetData>
    <row r="2" spans="2:2" ht="19" x14ac:dyDescent="0.25">
      <c r="B2" s="22" t="s">
        <v>153</v>
      </c>
    </row>
    <row r="3" spans="2:2" ht="7.5" customHeight="1" x14ac:dyDescent="0.25">
      <c r="B3" s="23"/>
    </row>
    <row r="4" spans="2:2" x14ac:dyDescent="0.2">
      <c r="B4" s="24" t="s">
        <v>154</v>
      </c>
    </row>
    <row r="5" spans="2:2" x14ac:dyDescent="0.2">
      <c r="B5" s="24" t="s">
        <v>155</v>
      </c>
    </row>
    <row r="6" spans="2:2" x14ac:dyDescent="0.2">
      <c r="B6" s="24" t="s">
        <v>156</v>
      </c>
    </row>
    <row r="7" spans="2:2" x14ac:dyDescent="0.2">
      <c r="B7" s="25" t="s">
        <v>157</v>
      </c>
    </row>
    <row r="8" spans="2:2" x14ac:dyDescent="0.2">
      <c r="B8" s="1"/>
    </row>
    <row r="9" spans="2:2" ht="19" x14ac:dyDescent="0.25">
      <c r="B9" s="22" t="s">
        <v>158</v>
      </c>
    </row>
    <row r="10" spans="2:2" ht="7.5" customHeight="1" x14ac:dyDescent="0.25">
      <c r="B10" s="23"/>
    </row>
    <row r="11" spans="2:2" x14ac:dyDescent="0.2">
      <c r="B11" s="24" t="s">
        <v>159</v>
      </c>
    </row>
    <row r="12" spans="2:2" x14ac:dyDescent="0.2">
      <c r="B12" s="24" t="s">
        <v>160</v>
      </c>
    </row>
    <row r="13" spans="2:2" x14ac:dyDescent="0.2">
      <c r="B13" s="25" t="s">
        <v>161</v>
      </c>
    </row>
    <row r="14" spans="2:2" x14ac:dyDescent="0.2">
      <c r="B14" s="1"/>
    </row>
    <row r="15" spans="2:2" ht="20" x14ac:dyDescent="0.25">
      <c r="B15" s="26" t="s">
        <v>162</v>
      </c>
    </row>
    <row r="16" spans="2:2" ht="7.5" customHeight="1" x14ac:dyDescent="0.25">
      <c r="B16" s="23"/>
    </row>
    <row r="17" spans="2:2" x14ac:dyDescent="0.2">
      <c r="B17" s="24" t="s">
        <v>163</v>
      </c>
    </row>
    <row r="18" spans="2:2" x14ac:dyDescent="0.2">
      <c r="B18" s="24" t="s">
        <v>164</v>
      </c>
    </row>
    <row r="19" spans="2:2" x14ac:dyDescent="0.2">
      <c r="B19" s="24" t="s">
        <v>165</v>
      </c>
    </row>
    <row r="20" spans="2:2" x14ac:dyDescent="0.2">
      <c r="B20" s="25" t="s">
        <v>166</v>
      </c>
    </row>
    <row r="21" spans="2:2" x14ac:dyDescent="0.2">
      <c r="B21" s="1"/>
    </row>
    <row r="22" spans="2:2" ht="19" x14ac:dyDescent="0.25">
      <c r="B22" s="22" t="s">
        <v>167</v>
      </c>
    </row>
    <row r="23" spans="2:2" ht="7.5" customHeight="1" x14ac:dyDescent="0.25">
      <c r="B23" s="23"/>
    </row>
    <row r="24" spans="2:2" x14ac:dyDescent="0.2">
      <c r="B24" s="24" t="s">
        <v>168</v>
      </c>
    </row>
    <row r="25" spans="2:2" x14ac:dyDescent="0.2">
      <c r="B25" s="25" t="s">
        <v>169</v>
      </c>
    </row>
    <row r="26" spans="2:2" x14ac:dyDescent="0.2">
      <c r="B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Checklist</vt:lpstr>
      <vt:lpstr>Assumptions - STATUS</vt:lpstr>
      <vt:lpstr>Assumptions - EMPLOYEE</vt:lpstr>
      <vt:lpstr>Useful tips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Armand Slabbert</cp:lastModifiedBy>
  <cp:revision/>
  <dcterms:created xsi:type="dcterms:W3CDTF">2026-02-01T14:42:45Z</dcterms:created>
  <dcterms:modified xsi:type="dcterms:W3CDTF">2026-02-11T18:39:11Z</dcterms:modified>
  <cp:category/>
  <cp:contentStatus/>
</cp:coreProperties>
</file>