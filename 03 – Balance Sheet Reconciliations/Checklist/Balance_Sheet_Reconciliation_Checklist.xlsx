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mandslabbertbuchanan_icloudgmail/Library/CloudStorage/OneDrive-Personal/Github/Checklist/"/>
    </mc:Choice>
  </mc:AlternateContent>
  <xr:revisionPtr revIDLastSave="0" documentId="13_ncr:1_{A1F3CCC5-F474-DC48-AB6F-FD7D7087FA99}" xr6:coauthVersionLast="47" xr6:coauthVersionMax="47" xr10:uidLastSave="{00000000-0000-0000-0000-000000000000}"/>
  <bookViews>
    <workbookView xWindow="0" yWindow="500" windowWidth="28800" windowHeight="16180" xr2:uid="{96302FD7-062A-644B-848A-DEFCE66D8A18}"/>
  </bookViews>
  <sheets>
    <sheet name="Dashboard" sheetId="4" r:id="rId1"/>
    <sheet name="Checklist" sheetId="1" r:id="rId2"/>
    <sheet name="Assumptions - STATUS" sheetId="3" r:id="rId3"/>
    <sheet name="Assumptions - EMPLOYE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4" l="1"/>
  <c r="E17" i="4"/>
  <c r="K3" i="1"/>
  <c r="K4" i="1" l="1"/>
  <c r="K5" i="1"/>
  <c r="K6" i="1"/>
  <c r="K7" i="1"/>
  <c r="K8" i="1"/>
  <c r="K9" i="1"/>
  <c r="K10" i="1"/>
  <c r="C20" i="4" s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C19" i="4" l="1"/>
  <c r="C17" i="4"/>
  <c r="C18" i="4"/>
  <c r="C21" i="4" l="1"/>
</calcChain>
</file>

<file path=xl/sharedStrings.xml><?xml version="1.0" encoding="utf-8"?>
<sst xmlns="http://schemas.openxmlformats.org/spreadsheetml/2006/main" count="507" uniqueCount="214">
  <si>
    <t>Task Description</t>
  </si>
  <si>
    <t>Status</t>
  </si>
  <si>
    <t>Prepared By</t>
  </si>
  <si>
    <t>Reviewed By</t>
  </si>
  <si>
    <t>Reconciliation Completed (Y/N)</t>
  </si>
  <si>
    <t>Differences Identified (Y/N)</t>
  </si>
  <si>
    <t>Notes / Reconciling Items</t>
  </si>
  <si>
    <t>Bank Accounts</t>
  </si>
  <si>
    <t>Bank</t>
  </si>
  <si>
    <t>Not Started</t>
  </si>
  <si>
    <t>Receivables</t>
  </si>
  <si>
    <t>VAT Control Account</t>
  </si>
  <si>
    <t>Tax</t>
  </si>
  <si>
    <t>Payroll</t>
  </si>
  <si>
    <t>Accruals</t>
  </si>
  <si>
    <t>Prepayments</t>
  </si>
  <si>
    <t>Loans</t>
  </si>
  <si>
    <t>Fixed Assets</t>
  </si>
  <si>
    <t>Equity</t>
  </si>
  <si>
    <t>Owner &amp; Reviewer</t>
  </si>
  <si>
    <t>Job Title</t>
  </si>
  <si>
    <t>Thabo Maseko</t>
  </si>
  <si>
    <t xml:space="preserve"> Chief Financial Officer        </t>
  </si>
  <si>
    <t>Annelie van Wyk</t>
  </si>
  <si>
    <t xml:space="preserve"> Finance Manager                </t>
  </si>
  <si>
    <t>Siphelele Dlamini</t>
  </si>
  <si>
    <t xml:space="preserve"> Senior Accountant              </t>
  </si>
  <si>
    <t>Johan Botha</t>
  </si>
  <si>
    <t xml:space="preserve"> Junior Accountant              </t>
  </si>
  <si>
    <t>Naledi Molefe</t>
  </si>
  <si>
    <t xml:space="preserve"> Bookkeeper                     </t>
  </si>
  <si>
    <t>Pieter du Plessis</t>
  </si>
  <si>
    <t xml:space="preserve"> Creditors Clerk                </t>
  </si>
  <si>
    <t>Zandile Nkomo</t>
  </si>
  <si>
    <t xml:space="preserve"> Debtors Clerk                  </t>
  </si>
  <si>
    <t>Willem Pretorius</t>
  </si>
  <si>
    <t xml:space="preserve"> Financial Controller           </t>
  </si>
  <si>
    <t>Lerato Kgosi</t>
  </si>
  <si>
    <t xml:space="preserve"> Management Accountant          </t>
  </si>
  <si>
    <t>Heinrich Müller</t>
  </si>
  <si>
    <t xml:space="preserve"> Group Reporting Accountant     </t>
  </si>
  <si>
    <t>Busisiwe Zulu</t>
  </si>
  <si>
    <t xml:space="preserve"> Payroll Administrator          </t>
  </si>
  <si>
    <t>Francois Joubert</t>
  </si>
  <si>
    <t xml:space="preserve"> Financial Analyst              </t>
  </si>
  <si>
    <t>Kagiso Mokoena</t>
  </si>
  <si>
    <t xml:space="preserve"> Assistant Accountant           </t>
  </si>
  <si>
    <t>Marlene Coetzee</t>
  </si>
  <si>
    <t xml:space="preserve"> Finance Administrator          </t>
  </si>
  <si>
    <t>Sibusiso Khumalo</t>
  </si>
  <si>
    <t xml:space="preserve"> Accounts Payable Supervisor    </t>
  </si>
  <si>
    <t>Ruan de Villiers</t>
  </si>
  <si>
    <t xml:space="preserve"> Treasury Analyst               </t>
  </si>
  <si>
    <t>Palesa Motsepe</t>
  </si>
  <si>
    <t xml:space="preserve"> Compliance &amp; Reporting Officer </t>
  </si>
  <si>
    <t>Christo Nel</t>
  </si>
  <si>
    <t xml:space="preserve"> Cost Accountant                </t>
  </si>
  <si>
    <t>Nomsa Madonsela</t>
  </si>
  <si>
    <t xml:space="preserve"> VAT &amp; Tax Accountant           </t>
  </si>
  <si>
    <t>Arno Steyn</t>
  </si>
  <si>
    <t xml:space="preserve"> Internal Audit Officer         </t>
  </si>
  <si>
    <t>Lindiwe Mabaso</t>
  </si>
  <si>
    <t xml:space="preserve"> Finance Operations Coordinator </t>
  </si>
  <si>
    <t>Jacques le Roux</t>
  </si>
  <si>
    <t xml:space="preserve"> Head of Finance Operations     </t>
  </si>
  <si>
    <t>RAG</t>
  </si>
  <si>
    <t>Applies To</t>
  </si>
  <si>
    <t>Control Requirement</t>
  </si>
  <si>
    <t>Evidence Required</t>
  </si>
  <si>
    <t>No</t>
  </si>
  <si>
    <t>None</t>
  </si>
  <si>
    <t>Yes</t>
  </si>
  <si>
    <t>In Progress</t>
  </si>
  <si>
    <t>All balance sheet reconciliations</t>
  </si>
  <si>
    <t>Balance Sheet Category</t>
  </si>
  <si>
    <t>Account Name</t>
  </si>
  <si>
    <t>Assets – Non-Current</t>
  </si>
  <si>
    <t>Land</t>
  </si>
  <si>
    <t>Buildings</t>
  </si>
  <si>
    <t>Leasehold Improvements</t>
  </si>
  <si>
    <t>Plant &amp; Machinery</t>
  </si>
  <si>
    <t>Office Equipment</t>
  </si>
  <si>
    <t>IT Equipment</t>
  </si>
  <si>
    <t>Furniture &amp; Fittings</t>
  </si>
  <si>
    <t>Motor Vehicles</t>
  </si>
  <si>
    <t>Right-of-Use Assets (IFRS 16)</t>
  </si>
  <si>
    <t>Accumulated Depreciation</t>
  </si>
  <si>
    <t>Intangible Assets</t>
  </si>
  <si>
    <t>Deferred Tax Asset</t>
  </si>
  <si>
    <t>Assets – Current</t>
  </si>
  <si>
    <t>Petty Cash</t>
  </si>
  <si>
    <t>Trade Debtors</t>
  </si>
  <si>
    <t>Provision for Doubtful Debts</t>
  </si>
  <si>
    <t>VAT Receivable</t>
  </si>
  <si>
    <t>Employee Receivables</t>
  </si>
  <si>
    <t>Prepaid Expenses</t>
  </si>
  <si>
    <t>Inventory</t>
  </si>
  <si>
    <t>Share Capital</t>
  </si>
  <si>
    <t>Share Premium</t>
  </si>
  <si>
    <t>Retained Earnings</t>
  </si>
  <si>
    <t>Reserves</t>
  </si>
  <si>
    <t>Liabilities – Non-Current</t>
  </si>
  <si>
    <t>Long-Term Loans</t>
  </si>
  <si>
    <t>Shareholder Loans</t>
  </si>
  <si>
    <t>Lease Liabilities (IFRS 16)</t>
  </si>
  <si>
    <t>Deferred Tax Liability</t>
  </si>
  <si>
    <t>Liabilities – Current</t>
  </si>
  <si>
    <t>Trade Creditors</t>
  </si>
  <si>
    <t>Accrued Expenses</t>
  </si>
  <si>
    <t>Deferred Revenue</t>
  </si>
  <si>
    <t>VAT Payable</t>
  </si>
  <si>
    <t>PAYE Payable</t>
  </si>
  <si>
    <t>UIF Payable</t>
  </si>
  <si>
    <t>SDL Payable</t>
  </si>
  <si>
    <t>Provisional Tax Payable</t>
  </si>
  <si>
    <t>Salaries Payable</t>
  </si>
  <si>
    <t>Leave Pay Provision</t>
  </si>
  <si>
    <t>Bank Overdraft</t>
  </si>
  <si>
    <t>Control Accounts</t>
  </si>
  <si>
    <t>Payroll Clearing Account</t>
  </si>
  <si>
    <t>Suspense Account</t>
  </si>
  <si>
    <t>Intercompany Clearing Account</t>
  </si>
  <si>
    <t>Confirm balance agrees to title deeds or purchase agreements. Review for impairment or revaluation indicators.</t>
  </si>
  <si>
    <t>Reconcile cost and accumulated depreciation to the fixed asset register and depreciation calculation.</t>
  </si>
  <si>
    <t>Reconcile to asset register and lease agreements. Confirm depreciation period aligns to lease term.</t>
  </si>
  <si>
    <t>Reconcile to asset register and confirm depreciation accuracy and completeness.</t>
  </si>
  <si>
    <t>Reconcile asset register to GL and verify depreciation calculation.</t>
  </si>
  <si>
    <t>Reconcile asset register to GL and review depreciation and disposals.</t>
  </si>
  <si>
    <t>Reconcile to fixed asset register and confirm depreciation accuracy.</t>
  </si>
  <si>
    <t>Reconcile asset register to GL and confirm depreciation, disposals, and insurance coverage.</t>
  </si>
  <si>
    <t>Reconcile ROU asset balance to lease schedules and IFRS 16 calculations.</t>
  </si>
  <si>
    <t>Prepare reconciliation and agree balance to supporting documentation.</t>
  </si>
  <si>
    <t>Reconcile to tax computation and confirm recognition criteria.</t>
  </si>
  <si>
    <t>Prepare bank reconciliation and agree closing balance to bank statements.</t>
  </si>
  <si>
    <t>Reconcile petty cash to cash count and supporting vouchers.</t>
  </si>
  <si>
    <t>Reconcile receivables subledger to GL and review ageing and impairments.</t>
  </si>
  <si>
    <t>Reconcile provision to ageing analysis and impairment assessment.</t>
  </si>
  <si>
    <t>Reconcile VAT receivable to VAT201 return and supporting schedules.</t>
  </si>
  <si>
    <t>Reconcile to payroll or HR records and confirm recoverability.</t>
  </si>
  <si>
    <t>Reconcile prepayment schedule to GL and confirm amortisation accuracy.</t>
  </si>
  <si>
    <t>Reconcile inventory records to GL and review valuation and obsolescence.</t>
  </si>
  <si>
    <t>Confirm balance agrees to share register and CIPC records.</t>
  </si>
  <si>
    <t>Confirm balance agrees to share issue documentation.</t>
  </si>
  <si>
    <t>Confirm opening balance agrees to prior year audited financial statements.</t>
  </si>
  <si>
    <t>Reconcile movements to board-approved transactions.</t>
  </si>
  <si>
    <t>Reconcile to loan agreements and lender confirmations.</t>
  </si>
  <si>
    <t>Reconcile to loan agreements and confirmations.</t>
  </si>
  <si>
    <t>Reconcile lease liabilities to IFRS 16 lease schedules.</t>
  </si>
  <si>
    <t>Reconcile to tax computation and temporary difference analysis.</t>
  </si>
  <si>
    <t>Reconcile AP subledger to GL and review outstanding balances.</t>
  </si>
  <si>
    <t>Reconcile accrual schedule to GL and review reversals.</t>
  </si>
  <si>
    <t>Reconcile deferred income to contracts and revenue recognition schedules.</t>
  </si>
  <si>
    <t>Reconcile VAT payable to VAT201 return and supporting schedules.</t>
  </si>
  <si>
    <t>Reconcile PAYE control account to EMP201 and payroll reports.</t>
  </si>
  <si>
    <t>Reconcile UIF control account to payroll reports and submissions.</t>
  </si>
  <si>
    <t>Reconcile SDL control account to payroll reports and submissions.</t>
  </si>
  <si>
    <t>Reconcile to provisional tax calculations and SARS assessments.</t>
  </si>
  <si>
    <t>Reconcile salaries payable to payroll reports.</t>
  </si>
  <si>
    <t>Reconcile leave provision to HR leave records and calculations.</t>
  </si>
  <si>
    <t>Reconcile overdraft balance to bank statements and facility agreements.</t>
  </si>
  <si>
    <t>Reconcile VAT control account to VAT201 and GL movements.</t>
  </si>
  <si>
    <t>Reconcile payroll clearing account to payroll journals.</t>
  </si>
  <si>
    <t>Investigate and clear all balances. No long-term balances permitted.</t>
  </si>
  <si>
    <t>Reconcile intercompany balances and agree confirmations.</t>
  </si>
  <si>
    <t>Completed</t>
  </si>
  <si>
    <t>Reviewed</t>
  </si>
  <si>
    <t>Key Meaning (BS Reconciliations)</t>
  </si>
  <si>
    <t>🔴 Red</t>
  </si>
  <si>
    <t>All balance sheet accounts</t>
  </si>
  <si>
    <t>Reconciliation not yet prepared; no schedules, calculations, or support compiled</t>
  </si>
  <si>
    <t>No estimates, journals, or sign-off permitted. Balance must not be relied upon for reporting</t>
  </si>
  <si>
    <t>🟠 Amber</t>
  </si>
  <si>
    <t>Accounts awaiting information or external inputs</t>
  </si>
  <si>
    <t>Reconciliation preparation underway but incomplete (e.g. bank statements, SARS returns, confirmations outstanding)</t>
  </si>
  <si>
    <t>Only provisional schedules allowed. No posting or reliance without Finance Manager awareness</t>
  </si>
  <si>
    <t>Email trail, information requests, draft schedules</t>
  </si>
  <si>
    <t>All operational balance sheet accounts</t>
  </si>
  <si>
    <t>Reconciliation prepared and internally reviewed; reconciling items identified and explained</t>
  </si>
  <si>
    <t>Balances may be used for management reporting but flagged as pending final review</t>
  </si>
  <si>
    <t>Draft reconciliation, GL extract, supporting schedules</t>
  </si>
  <si>
    <t>🟢 Green</t>
  </si>
  <si>
    <t>Reconciliation independently reviewed; balances fully supported; no unexplained differences</t>
  </si>
  <si>
    <t>Approved for reporting and audit reliance</t>
  </si>
  <si>
    <t>Signed reconciliation, GL extract, evidence pack</t>
  </si>
  <si>
    <t>Other</t>
  </si>
  <si>
    <t>Payables</t>
  </si>
  <si>
    <t>GL Period / Month</t>
  </si>
  <si>
    <r>
      <t>One unallocated item,</t>
    </r>
    <r>
      <rPr>
        <i/>
        <sz val="12"/>
        <color rgb="FFFFC000"/>
        <rFont val="Calibri (Body)"/>
      </rPr>
      <t xml:space="preserve"> </t>
    </r>
    <r>
      <rPr>
        <i/>
        <sz val="12"/>
        <color theme="5"/>
        <rFont val="Calibri (Body)"/>
      </rPr>
      <t>document the recon item here</t>
    </r>
  </si>
  <si>
    <t xml:space="preserve">     COMPANY NAME </t>
  </si>
  <si>
    <t>Version:</t>
  </si>
  <si>
    <t>v1.0</t>
  </si>
  <si>
    <t>Last Updated:</t>
  </si>
  <si>
    <t>Owner:</t>
  </si>
  <si>
    <t>Armand Slabbert</t>
  </si>
  <si>
    <t>Count</t>
  </si>
  <si>
    <t>RAG Legend</t>
  </si>
  <si>
    <t>Red = Not started / critical risk</t>
  </si>
  <si>
    <t>🟡 Yellow</t>
  </si>
  <si>
    <t>Amber =  Work in progress / awaiting review</t>
  </si>
  <si>
    <t>Yellow = Completed</t>
  </si>
  <si>
    <t>Green = Reviewed</t>
  </si>
  <si>
    <t>Balance Sheet Allocation</t>
  </si>
  <si>
    <r>
      <t xml:space="preserve">Refer to tab </t>
    </r>
    <r>
      <rPr>
        <b/>
        <sz val="11"/>
        <color theme="8" tint="0.39997558519241921"/>
        <rFont val="Aptos Narrow"/>
      </rPr>
      <t>Assumptions - EMPLOYEE</t>
    </r>
    <r>
      <rPr>
        <b/>
        <sz val="11"/>
        <color rgb="FFE49EDD"/>
        <rFont val="Aptos Narrow"/>
      </rPr>
      <t xml:space="preserve">
</t>
    </r>
    <r>
      <rPr>
        <b/>
        <sz val="11"/>
        <color rgb="FF000000"/>
        <rFont val="Aptos Narrow"/>
      </rPr>
      <t xml:space="preserve">
</t>
    </r>
  </si>
  <si>
    <r>
      <t xml:space="preserve">Refer to tab </t>
    </r>
    <r>
      <rPr>
        <b/>
        <sz val="11"/>
        <color theme="7" tint="0.39997558519241921"/>
        <rFont val="Calibri (Body)"/>
      </rPr>
      <t>Assumptions - STATUS</t>
    </r>
    <r>
      <rPr>
        <b/>
        <sz val="11"/>
        <color rgb="FF82CAEC"/>
        <rFont val="Calibri"/>
        <family val="2"/>
        <scheme val="minor"/>
      </rPr>
      <t xml:space="preserve">
</t>
    </r>
    <r>
      <rPr>
        <b/>
        <sz val="11"/>
        <color rgb="FF000000"/>
        <rFont val="Calibri"/>
        <family val="2"/>
        <scheme val="minor"/>
      </rPr>
      <t xml:space="preserve">
</t>
    </r>
  </si>
  <si>
    <t>Recon outstanding</t>
  </si>
  <si>
    <t>Difference Identified</t>
  </si>
  <si>
    <t>Explain Differences items here</t>
  </si>
  <si>
    <t>1)</t>
  </si>
  <si>
    <t>2)</t>
  </si>
  <si>
    <t>3)</t>
  </si>
  <si>
    <t>4)</t>
  </si>
  <si>
    <t>5)</t>
  </si>
  <si>
    <t>Duplicate invoice captured</t>
  </si>
  <si>
    <t xml:space="preserve">Balance Sheet Reconciliations Dashboard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</si>
</sst>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2"/>
      <color rgb="FFFFC000"/>
      <name val="Calibri (Body)"/>
    </font>
    <font>
      <i/>
      <sz val="12"/>
      <color theme="5"/>
      <name val="Calibri (Body)"/>
    </font>
    <font>
      <sz val="48"/>
      <color theme="1"/>
      <name val="Calibri"/>
      <family val="2"/>
      <scheme val="minor"/>
    </font>
    <font>
      <b/>
      <sz val="16"/>
      <name val="Aptos Narrow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name val="Aptos Narrow"/>
    </font>
    <font>
      <b/>
      <sz val="11"/>
      <name val="Aptos Narrow"/>
    </font>
    <font>
      <b/>
      <sz val="18"/>
      <color theme="1"/>
      <name val="Calibri"/>
      <family val="2"/>
      <scheme val="minor"/>
    </font>
    <font>
      <b/>
      <sz val="11"/>
      <color rgb="FF000000"/>
      <name val="Aptos Narrow"/>
    </font>
    <font>
      <b/>
      <sz val="11"/>
      <color theme="8" tint="0.39997558519241921"/>
      <name val="Aptos Narrow"/>
    </font>
    <font>
      <b/>
      <sz val="11"/>
      <color rgb="FFE49EDD"/>
      <name val="Aptos Narrow"/>
    </font>
    <font>
      <b/>
      <sz val="11"/>
      <color rgb="FF000000"/>
      <name val="Calibri"/>
      <family val="2"/>
      <scheme val="minor"/>
    </font>
    <font>
      <b/>
      <sz val="11"/>
      <color theme="7" tint="0.39997558519241921"/>
      <name val="Calibri (Body)"/>
    </font>
    <font>
      <b/>
      <sz val="11"/>
      <color rgb="FF82CAEC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top" wrapText="1"/>
    </xf>
    <xf numFmtId="0" fontId="3" fillId="0" borderId="0" xfId="1" applyFont="1"/>
    <xf numFmtId="0" fontId="2" fillId="0" borderId="0" xfId="1"/>
    <xf numFmtId="0" fontId="4" fillId="0" borderId="0" xfId="1" applyFont="1"/>
    <xf numFmtId="0" fontId="0" fillId="2" borderId="0" xfId="0" applyFill="1" applyAlignment="1">
      <alignment horizontal="left" vertical="center" wrapText="1"/>
    </xf>
    <xf numFmtId="0" fontId="1" fillId="0" borderId="0" xfId="0" applyFont="1"/>
    <xf numFmtId="17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7" fillId="0" borderId="0" xfId="1" applyFont="1"/>
    <xf numFmtId="14" fontId="2" fillId="0" borderId="0" xfId="1" applyNumberFormat="1" applyAlignment="1">
      <alignment horizontal="left"/>
    </xf>
    <xf numFmtId="0" fontId="9" fillId="0" borderId="1" xfId="1" applyFont="1" applyBorder="1"/>
    <xf numFmtId="0" fontId="9" fillId="0" borderId="2" xfId="1" applyFont="1" applyBorder="1" applyAlignment="1">
      <alignment horizontal="center"/>
    </xf>
    <xf numFmtId="0" fontId="10" fillId="0" borderId="2" xfId="1" applyFont="1" applyBorder="1"/>
    <xf numFmtId="0" fontId="11" fillId="0" borderId="2" xfId="1" applyFont="1" applyBorder="1"/>
    <xf numFmtId="0" fontId="9" fillId="0" borderId="3" xfId="1" applyFont="1" applyBorder="1" applyAlignment="1">
      <alignment horizontal="center"/>
    </xf>
    <xf numFmtId="0" fontId="2" fillId="0" borderId="4" xfId="1" applyBorder="1"/>
    <xf numFmtId="0" fontId="2" fillId="0" borderId="0" xfId="1" applyAlignment="1">
      <alignment horizontal="center"/>
    </xf>
    <xf numFmtId="0" fontId="2" fillId="0" borderId="5" xfId="1" applyBorder="1" applyAlignment="1">
      <alignment horizontal="center"/>
    </xf>
    <xf numFmtId="0" fontId="2" fillId="0" borderId="5" xfId="1" applyBorder="1"/>
    <xf numFmtId="0" fontId="2" fillId="0" borderId="6" xfId="1" applyBorder="1"/>
    <xf numFmtId="0" fontId="2" fillId="0" borderId="7" xfId="1" applyBorder="1" applyAlignment="1">
      <alignment horizontal="center"/>
    </xf>
    <xf numFmtId="0" fontId="2" fillId="0" borderId="8" xfId="1" applyBorder="1"/>
    <xf numFmtId="0" fontId="3" fillId="0" borderId="9" xfId="1" applyFont="1" applyBorder="1"/>
    <xf numFmtId="0" fontId="12" fillId="0" borderId="0" xfId="1" applyFont="1"/>
    <xf numFmtId="0" fontId="13" fillId="0" borderId="0" xfId="1" applyFont="1"/>
    <xf numFmtId="0" fontId="14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0" fontId="8" fillId="0" borderId="0" xfId="1" applyFont="1" applyAlignment="1">
      <alignment horizontal="center"/>
    </xf>
    <xf numFmtId="0" fontId="9" fillId="0" borderId="0" xfId="1" applyFont="1"/>
    <xf numFmtId="0" fontId="2" fillId="0" borderId="0" xfId="1" applyAlignment="1">
      <alignment horizontal="right"/>
    </xf>
    <xf numFmtId="0" fontId="20" fillId="0" borderId="0" xfId="1" applyFont="1"/>
    <xf numFmtId="0" fontId="20" fillId="0" borderId="5" xfId="1" applyFont="1" applyBorder="1" applyAlignment="1">
      <alignment horizontal="center"/>
    </xf>
  </cellXfs>
  <cellStyles count="2">
    <cellStyle name="Normal" xfId="0" builtinId="0"/>
    <cellStyle name="Normal 2" xfId="1" xr:uid="{118C64AC-7482-C04D-A948-F00F16A16D78}"/>
  </cellStyles>
  <dxfs count="16"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ont>
        <color rgb="FF0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left" vertical="top" textRotation="0" wrapText="1" indent="0" justifyLastLine="0" shrinkToFit="0" readingOrder="0"/>
    </dxf>
    <dxf>
      <numFmt numFmtId="0" formatCode="General"/>
      <alignment horizontal="left" vertical="top" textRotation="0" wrapText="1" indent="0" justifyLastLine="0" shrinkToFit="0" readingOrder="0"/>
    </dxf>
    <dxf>
      <numFmt numFmtId="22" formatCode="mmm\-yy"/>
      <alignment horizontal="center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1F6C25-DD95-CE47-A6A9-785925BC10B2}" name="Table1" displayName="Table1" ref="B2:M45" totalsRowShown="0" headerRowDxfId="15" dataDxfId="14">
  <autoFilter ref="B2:M45" xr:uid="{311F6C25-DD95-CE47-A6A9-785925BC10B2}"/>
  <tableColumns count="12">
    <tableColumn id="2" xr3:uid="{79F507BF-107F-FD49-863B-B95BB82AC027}" name="Balance Sheet Category" dataDxfId="13"/>
    <tableColumn id="14" xr3:uid="{4DD5FD02-B1E6-9346-B4EA-DD8C2001FAD6}" name="Account Name" dataDxfId="12"/>
    <tableColumn id="3" xr3:uid="{451799E1-F9C6-F444-B447-8780FF4199B0}" name="Balance Sheet Allocation" dataDxfId="11"/>
    <tableColumn id="4" xr3:uid="{D5A636F8-6735-814B-9B29-4D7FDFA62304}" name="Task Description" dataDxfId="10"/>
    <tableColumn id="12" xr3:uid="{94A1AA32-12A7-2C4C-9F4E-8056D35C05A0}" name="Status" dataDxfId="9"/>
    <tableColumn id="5" xr3:uid="{E5AEE67E-8492-D942-A650-443731D68FC7}" name="Prepared By" dataDxfId="8"/>
    <tableColumn id="6" xr3:uid="{F9CB0090-196C-4A4E-BB28-E374DFAE541B}" name="Reviewed By" dataDxfId="7"/>
    <tableColumn id="7" xr3:uid="{BE1CA6C4-115D-C54D-ACFB-1E64D7B89B6A}" name="GL Period / Month" dataDxfId="6"/>
    <tableColumn id="8" xr3:uid="{E5F3018E-3F9D-9A46-BB58-90FB3AFE8AC6}" name="Reconciliation Completed (Y/N)" dataDxfId="1"/>
    <tableColumn id="13" xr3:uid="{4A4C6F4D-00B7-D54F-AEDE-40A220DA3558}" name="RAG" dataDxfId="5">
      <calculatedColumnFormula>IFERROR(VLOOKUP(F3,Table4[[#All],[Status]:[RAG]],2,FALSE),"")</calculatedColumnFormula>
    </tableColumn>
    <tableColumn id="9" xr3:uid="{D5399B10-4D62-3C4F-A224-9E87E9F717D3}" name="Differences Identified (Y/N)" dataDxfId="0"/>
    <tableColumn id="11" xr3:uid="{E69B29DD-0D5C-6D48-A4B3-1E0E4C130735}" name="Notes / Reconciling Items" dataDxfId="4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729BBD-F41D-B743-B290-141FFE179D99}" name="Table4" displayName="Table4" ref="A1:F5" totalsRowShown="0">
  <autoFilter ref="A1:F5" xr:uid="{7E185E5F-B21F-412C-9D58-C85604FFB40C}"/>
  <tableColumns count="6">
    <tableColumn id="1" xr3:uid="{D5127356-B519-7441-AD1D-613CDBBD943E}" name="Status"/>
    <tableColumn id="8" xr3:uid="{985C0AEC-73E9-194C-9681-6357554B67C2}" name="RAG"/>
    <tableColumn id="2" xr3:uid="{F5022AAD-D58F-4744-8414-6984E98DB804}" name="Applies To"/>
    <tableColumn id="3" xr3:uid="{DD5CCFAE-C19B-F740-ACDE-5F80E0A26C28}" name="Key Meaning (BS Reconciliations)"/>
    <tableColumn id="4" xr3:uid="{79542256-57E1-0744-B7BE-BF3613F89B82}" name="Control Requirement"/>
    <tableColumn id="5" xr3:uid="{81DA9FBC-E264-AE44-A66E-AA3DA9AFF313}" name="Evidence Required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BEBD18-50A6-F047-9D4E-A9B0576F0320}" name="Table2" displayName="Table2" ref="A1:B23" totalsRowShown="0" headerRowDxfId="3">
  <autoFilter ref="A1:B23" xr:uid="{C14D6A05-D3A4-4D13-9CCA-7697BEEBC05A}"/>
  <tableColumns count="2">
    <tableColumn id="1" xr3:uid="{174FA22B-D640-8A45-9C76-3A1FA06F276A}" name="Owner &amp; Reviewer"/>
    <tableColumn id="2" xr3:uid="{BFA97E19-EBC2-E849-BF10-499AC085B074}" name="Job Title" dataDxfId="2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2C15-1914-7041-A761-AFCC7749D3EA}">
  <dimension ref="B5:F44"/>
  <sheetViews>
    <sheetView showGridLines="0" tabSelected="1" workbookViewId="0">
      <selection activeCell="B11" sqref="B11"/>
    </sheetView>
  </sheetViews>
  <sheetFormatPr baseColWidth="10" defaultColWidth="8.83203125" defaultRowHeight="15" x14ac:dyDescent="0.2"/>
  <cols>
    <col min="1" max="1" width="1.83203125" style="5" customWidth="1"/>
    <col min="2" max="2" width="15.5" style="5" customWidth="1"/>
    <col min="3" max="3" width="10.83203125" style="5" customWidth="1"/>
    <col min="4" max="4" width="8.83203125" style="5"/>
    <col min="5" max="5" width="14.6640625" style="5" bestFit="1" customWidth="1"/>
    <col min="6" max="6" width="24.1640625" style="5" customWidth="1"/>
    <col min="7" max="16384" width="8.83203125" style="5"/>
  </cols>
  <sheetData>
    <row r="5" spans="2:6" ht="62" x14ac:dyDescent="0.7">
      <c r="B5" s="11" t="s">
        <v>188</v>
      </c>
    </row>
    <row r="10" spans="2:6" ht="22" x14ac:dyDescent="0.3">
      <c r="B10" s="30" t="s">
        <v>213</v>
      </c>
      <c r="C10" s="30"/>
      <c r="D10" s="30"/>
      <c r="E10" s="30"/>
      <c r="F10" s="30"/>
    </row>
    <row r="12" spans="2:6" x14ac:dyDescent="0.2">
      <c r="B12" s="4" t="s">
        <v>189</v>
      </c>
      <c r="C12" s="5" t="s">
        <v>190</v>
      </c>
    </row>
    <row r="13" spans="2:6" x14ac:dyDescent="0.2">
      <c r="B13" s="4" t="s">
        <v>191</v>
      </c>
      <c r="C13" s="12">
        <v>46060</v>
      </c>
    </row>
    <row r="14" spans="2:6" x14ac:dyDescent="0.2">
      <c r="B14" s="4" t="s">
        <v>192</v>
      </c>
      <c r="C14" s="5" t="s">
        <v>193</v>
      </c>
    </row>
    <row r="16" spans="2:6" x14ac:dyDescent="0.2">
      <c r="B16" s="13" t="s">
        <v>65</v>
      </c>
      <c r="C16" s="14" t="s">
        <v>194</v>
      </c>
      <c r="D16" s="15"/>
      <c r="E16" s="16" t="s">
        <v>204</v>
      </c>
      <c r="F16" s="17" t="s">
        <v>205</v>
      </c>
    </row>
    <row r="17" spans="2:6" x14ac:dyDescent="0.2">
      <c r="B17" s="18" t="s">
        <v>167</v>
      </c>
      <c r="C17" s="19">
        <f>COUNTIF(Checklist!K:K,"🔴 Red")</f>
        <v>36</v>
      </c>
      <c r="E17" s="33" t="str">
        <f>CONCATENATE(COUNTIF(Checklist!J:J,"No")," Recon items")</f>
        <v>2 Recon items</v>
      </c>
      <c r="F17" s="34" t="str">
        <f>CONCATENATE(COUNTIF(Checklist!L:L,"No")," Differences" )</f>
        <v>1 Differences</v>
      </c>
    </row>
    <row r="18" spans="2:6" x14ac:dyDescent="0.2">
      <c r="B18" s="18" t="s">
        <v>171</v>
      </c>
      <c r="C18" s="19">
        <f>COUNTIF(Table1[RAG],"🟠 Amber")</f>
        <v>2</v>
      </c>
      <c r="F18" s="20"/>
    </row>
    <row r="19" spans="2:6" x14ac:dyDescent="0.2">
      <c r="B19" s="18" t="s">
        <v>197</v>
      </c>
      <c r="C19" s="19">
        <f>COUNTIF(Table1[RAG],"🟡 Yellow")</f>
        <v>1</v>
      </c>
      <c r="F19" s="20"/>
    </row>
    <row r="20" spans="2:6" x14ac:dyDescent="0.2">
      <c r="B20" s="18" t="s">
        <v>180</v>
      </c>
      <c r="C20" s="19">
        <f>COUNTIF(Table1[RAG],"🟢 Green")</f>
        <v>4</v>
      </c>
      <c r="F20" s="21"/>
    </row>
    <row r="21" spans="2:6" ht="16" thickBot="1" x14ac:dyDescent="0.25">
      <c r="B21" s="22"/>
      <c r="C21" s="23">
        <f>SUM(C17:C20)</f>
        <v>43</v>
      </c>
      <c r="D21" s="24"/>
      <c r="E21" s="24"/>
      <c r="F21" s="25"/>
    </row>
    <row r="22" spans="2:6" x14ac:dyDescent="0.2">
      <c r="C22" s="19"/>
    </row>
    <row r="23" spans="2:6" x14ac:dyDescent="0.2">
      <c r="B23" s="26" t="s">
        <v>195</v>
      </c>
    </row>
    <row r="24" spans="2:6" x14ac:dyDescent="0.2">
      <c r="B24" s="5" t="s">
        <v>196</v>
      </c>
    </row>
    <row r="25" spans="2:6" x14ac:dyDescent="0.2">
      <c r="B25" s="5" t="s">
        <v>198</v>
      </c>
    </row>
    <row r="26" spans="2:6" x14ac:dyDescent="0.2">
      <c r="B26" s="5" t="s">
        <v>199</v>
      </c>
    </row>
    <row r="27" spans="2:6" x14ac:dyDescent="0.2">
      <c r="B27" s="5" t="s">
        <v>200</v>
      </c>
    </row>
    <row r="31" spans="2:6" x14ac:dyDescent="0.2">
      <c r="B31" s="31" t="s">
        <v>206</v>
      </c>
    </row>
    <row r="32" spans="2:6" x14ac:dyDescent="0.2">
      <c r="B32" s="32" t="s">
        <v>207</v>
      </c>
      <c r="C32" s="33" t="s">
        <v>212</v>
      </c>
    </row>
    <row r="33" spans="2:2" x14ac:dyDescent="0.2">
      <c r="B33" s="32" t="s">
        <v>208</v>
      </c>
    </row>
    <row r="34" spans="2:2" x14ac:dyDescent="0.2">
      <c r="B34" s="32" t="s">
        <v>209</v>
      </c>
    </row>
    <row r="35" spans="2:2" x14ac:dyDescent="0.2">
      <c r="B35" s="32" t="s">
        <v>210</v>
      </c>
    </row>
    <row r="36" spans="2:2" x14ac:dyDescent="0.2">
      <c r="B36" s="32" t="s">
        <v>211</v>
      </c>
    </row>
    <row r="37" spans="2:2" ht="24" x14ac:dyDescent="0.3">
      <c r="B37" s="27"/>
    </row>
    <row r="38" spans="2:2" ht="24" x14ac:dyDescent="0.3">
      <c r="B38" s="27"/>
    </row>
    <row r="39" spans="2:2" ht="24" x14ac:dyDescent="0.3">
      <c r="B39" s="27"/>
    </row>
    <row r="40" spans="2:2" ht="24" x14ac:dyDescent="0.3">
      <c r="B40" s="27"/>
    </row>
    <row r="41" spans="2:2" ht="24" x14ac:dyDescent="0.3">
      <c r="B41" s="27"/>
    </row>
    <row r="42" spans="2:2" ht="24" x14ac:dyDescent="0.3">
      <c r="B42" s="27"/>
    </row>
    <row r="43" spans="2:2" ht="24" x14ac:dyDescent="0.3">
      <c r="B43" s="27"/>
    </row>
    <row r="44" spans="2:2" ht="24" x14ac:dyDescent="0.3">
      <c r="B44" s="27"/>
    </row>
  </sheetData>
  <mergeCells count="1">
    <mergeCell ref="B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7646-51FC-9840-ABB9-1296853162DC}">
  <dimension ref="B1:M45"/>
  <sheetViews>
    <sheetView showGridLines="0" topLeftCell="C1" zoomScale="88" workbookViewId="0">
      <selection activeCell="J14" sqref="J14"/>
    </sheetView>
  </sheetViews>
  <sheetFormatPr baseColWidth="10" defaultColWidth="8.83203125" defaultRowHeight="16" x14ac:dyDescent="0.2"/>
  <cols>
    <col min="1" max="1" width="2.83203125" customWidth="1"/>
    <col min="2" max="2" width="24.83203125" bestFit="1" customWidth="1"/>
    <col min="3" max="3" width="33.1640625" customWidth="1"/>
    <col min="4" max="4" width="15.1640625" customWidth="1"/>
    <col min="5" max="5" width="95.6640625" bestFit="1" customWidth="1"/>
    <col min="6" max="6" width="13.5" customWidth="1"/>
    <col min="7" max="8" width="17.83203125" customWidth="1"/>
    <col min="9" max="9" width="15.33203125" customWidth="1"/>
    <col min="10" max="10" width="19" bestFit="1" customWidth="1"/>
    <col min="11" max="11" width="10.1640625" bestFit="1" customWidth="1"/>
    <col min="12" max="12" width="17.83203125" bestFit="1" customWidth="1"/>
    <col min="13" max="13" width="53.5" customWidth="1"/>
  </cols>
  <sheetData>
    <row r="1" spans="2:13" ht="59" customHeight="1" x14ac:dyDescent="0.2">
      <c r="F1" s="29" t="s">
        <v>203</v>
      </c>
      <c r="G1" s="28" t="s">
        <v>202</v>
      </c>
      <c r="H1" s="28" t="s">
        <v>202</v>
      </c>
      <c r="I1" s="29"/>
    </row>
    <row r="2" spans="2:13" s="1" customFormat="1" ht="34" x14ac:dyDescent="0.2">
      <c r="B2" s="2" t="s">
        <v>74</v>
      </c>
      <c r="C2" s="2" t="s">
        <v>75</v>
      </c>
      <c r="D2" s="7" t="s">
        <v>201</v>
      </c>
      <c r="E2" s="2" t="s">
        <v>0</v>
      </c>
      <c r="F2" s="2" t="s">
        <v>1</v>
      </c>
      <c r="G2" s="2" t="s">
        <v>2</v>
      </c>
      <c r="H2" s="2" t="s">
        <v>3</v>
      </c>
      <c r="I2" s="7" t="s">
        <v>186</v>
      </c>
      <c r="J2" s="7" t="s">
        <v>4</v>
      </c>
      <c r="K2" s="7" t="s">
        <v>65</v>
      </c>
      <c r="L2" s="7" t="s">
        <v>5</v>
      </c>
      <c r="M2" s="2" t="s">
        <v>6</v>
      </c>
    </row>
    <row r="3" spans="2:13" ht="17" x14ac:dyDescent="0.2">
      <c r="B3" s="3" t="s">
        <v>76</v>
      </c>
      <c r="C3" s="3" t="s">
        <v>77</v>
      </c>
      <c r="D3" s="3" t="s">
        <v>17</v>
      </c>
      <c r="E3" s="3" t="s">
        <v>122</v>
      </c>
      <c r="F3" s="3" t="s">
        <v>165</v>
      </c>
      <c r="G3" s="3" t="s">
        <v>25</v>
      </c>
      <c r="H3" s="3" t="s">
        <v>23</v>
      </c>
      <c r="I3" s="9">
        <v>46054</v>
      </c>
      <c r="J3" s="10" t="s">
        <v>71</v>
      </c>
      <c r="K3" s="3" t="str">
        <f>IFERROR(VLOOKUP(F3,Table4[[#All],[Status]:[RAG]],2,FALSE),"")</f>
        <v>🟢 Green</v>
      </c>
      <c r="L3" s="10" t="s">
        <v>71</v>
      </c>
      <c r="M3" s="3" t="s">
        <v>187</v>
      </c>
    </row>
    <row r="4" spans="2:13" ht="17" x14ac:dyDescent="0.2">
      <c r="B4" s="3" t="s">
        <v>76</v>
      </c>
      <c r="C4" s="3" t="s">
        <v>78</v>
      </c>
      <c r="D4" s="3" t="s">
        <v>17</v>
      </c>
      <c r="E4" s="3" t="s">
        <v>123</v>
      </c>
      <c r="F4" s="3" t="s">
        <v>72</v>
      </c>
      <c r="G4" s="3" t="s">
        <v>23</v>
      </c>
      <c r="H4" s="3" t="s">
        <v>23</v>
      </c>
      <c r="I4" s="9">
        <v>46054</v>
      </c>
      <c r="J4" s="10" t="s">
        <v>71</v>
      </c>
      <c r="K4" s="3" t="str">
        <f>IFERROR(VLOOKUP(F4,Table4[[#All],[Status]:[RAG]],2,FALSE),"")</f>
        <v>🟠 Amber</v>
      </c>
      <c r="L4" s="10" t="s">
        <v>71</v>
      </c>
      <c r="M4" s="3"/>
    </row>
    <row r="5" spans="2:13" ht="17" x14ac:dyDescent="0.2">
      <c r="B5" s="3" t="s">
        <v>76</v>
      </c>
      <c r="C5" s="3" t="s">
        <v>79</v>
      </c>
      <c r="D5" s="3" t="s">
        <v>17</v>
      </c>
      <c r="E5" s="3" t="s">
        <v>124</v>
      </c>
      <c r="F5" s="3" t="s">
        <v>164</v>
      </c>
      <c r="G5" s="3" t="s">
        <v>23</v>
      </c>
      <c r="H5" s="3" t="s">
        <v>23</v>
      </c>
      <c r="I5" s="9">
        <v>46054</v>
      </c>
      <c r="J5" s="10" t="s">
        <v>71</v>
      </c>
      <c r="K5" s="3" t="str">
        <f>IFERROR(VLOOKUP(F5,Table4[[#All],[Status]:[RAG]],2,FALSE),"")</f>
        <v>🟡 Yellow</v>
      </c>
      <c r="L5" s="10" t="s">
        <v>71</v>
      </c>
      <c r="M5" s="3"/>
    </row>
    <row r="6" spans="2:13" ht="17" x14ac:dyDescent="0.2">
      <c r="B6" s="3" t="s">
        <v>76</v>
      </c>
      <c r="C6" s="3" t="s">
        <v>80</v>
      </c>
      <c r="D6" s="3" t="s">
        <v>17</v>
      </c>
      <c r="E6" s="3" t="s">
        <v>125</v>
      </c>
      <c r="F6" s="3" t="s">
        <v>165</v>
      </c>
      <c r="G6" s="3" t="s">
        <v>23</v>
      </c>
      <c r="H6" s="3" t="s">
        <v>23</v>
      </c>
      <c r="I6" s="9">
        <v>46054</v>
      </c>
      <c r="J6" s="10" t="s">
        <v>71</v>
      </c>
      <c r="K6" s="3" t="str">
        <f>IFERROR(VLOOKUP(F6,Table4[[#All],[Status]:[RAG]],2,FALSE),"")</f>
        <v>🟢 Green</v>
      </c>
      <c r="L6" s="10" t="s">
        <v>71</v>
      </c>
      <c r="M6" s="3"/>
    </row>
    <row r="7" spans="2:13" ht="17" x14ac:dyDescent="0.2">
      <c r="B7" s="3" t="s">
        <v>76</v>
      </c>
      <c r="C7" s="3" t="s">
        <v>81</v>
      </c>
      <c r="D7" s="3" t="s">
        <v>17</v>
      </c>
      <c r="E7" s="3" t="s">
        <v>126</v>
      </c>
      <c r="F7" s="3" t="s">
        <v>9</v>
      </c>
      <c r="G7" s="3" t="s">
        <v>23</v>
      </c>
      <c r="H7" s="3" t="s">
        <v>23</v>
      </c>
      <c r="I7" s="9">
        <v>46054</v>
      </c>
      <c r="J7" s="10" t="s">
        <v>69</v>
      </c>
      <c r="K7" s="3" t="str">
        <f>IFERROR(VLOOKUP(F7,Table4[[#All],[Status]:[RAG]],2,FALSE),"")</f>
        <v>🔴 Red</v>
      </c>
      <c r="L7" s="10" t="s">
        <v>71</v>
      </c>
      <c r="M7" s="3"/>
    </row>
    <row r="8" spans="2:13" ht="17" x14ac:dyDescent="0.2">
      <c r="B8" s="3" t="s">
        <v>76</v>
      </c>
      <c r="C8" s="3" t="s">
        <v>82</v>
      </c>
      <c r="D8" s="3" t="s">
        <v>17</v>
      </c>
      <c r="E8" s="3" t="s">
        <v>127</v>
      </c>
      <c r="F8" s="3" t="s">
        <v>9</v>
      </c>
      <c r="G8" s="3" t="s">
        <v>23</v>
      </c>
      <c r="H8" s="3" t="s">
        <v>23</v>
      </c>
      <c r="I8" s="9">
        <v>46054</v>
      </c>
      <c r="J8" s="10" t="s">
        <v>71</v>
      </c>
      <c r="K8" s="3" t="str">
        <f>IFERROR(VLOOKUP(F8,Table4[[#All],[Status]:[RAG]],2,FALSE),"")</f>
        <v>🔴 Red</v>
      </c>
      <c r="L8" s="10" t="s">
        <v>71</v>
      </c>
      <c r="M8" s="3"/>
    </row>
    <row r="9" spans="2:13" ht="17" x14ac:dyDescent="0.2">
      <c r="B9" s="3" t="s">
        <v>76</v>
      </c>
      <c r="C9" s="3" t="s">
        <v>83</v>
      </c>
      <c r="D9" s="3" t="s">
        <v>17</v>
      </c>
      <c r="E9" s="3" t="s">
        <v>128</v>
      </c>
      <c r="F9" s="3" t="s">
        <v>9</v>
      </c>
      <c r="G9" s="3" t="s">
        <v>23</v>
      </c>
      <c r="H9" s="3" t="s">
        <v>23</v>
      </c>
      <c r="I9" s="9">
        <v>46054</v>
      </c>
      <c r="J9" s="10" t="s">
        <v>71</v>
      </c>
      <c r="K9" s="3" t="str">
        <f>IFERROR(VLOOKUP(F9,Table4[[#All],[Status]:[RAG]],2,FALSE),"")</f>
        <v>🔴 Red</v>
      </c>
      <c r="L9" s="10" t="s">
        <v>71</v>
      </c>
      <c r="M9" s="3"/>
    </row>
    <row r="10" spans="2:13" ht="17" x14ac:dyDescent="0.2">
      <c r="B10" s="3" t="s">
        <v>76</v>
      </c>
      <c r="C10" s="3" t="s">
        <v>84</v>
      </c>
      <c r="D10" s="3" t="s">
        <v>17</v>
      </c>
      <c r="E10" s="3" t="s">
        <v>129</v>
      </c>
      <c r="F10" s="3" t="s">
        <v>165</v>
      </c>
      <c r="G10" s="3" t="s">
        <v>23</v>
      </c>
      <c r="H10" s="3" t="s">
        <v>23</v>
      </c>
      <c r="I10" s="9">
        <v>46054</v>
      </c>
      <c r="J10" s="10" t="s">
        <v>71</v>
      </c>
      <c r="K10" s="3" t="str">
        <f>IFERROR(VLOOKUP(F10,Table4[[#All],[Status]:[RAG]],2,FALSE),"")</f>
        <v>🟢 Green</v>
      </c>
      <c r="L10" s="10" t="s">
        <v>71</v>
      </c>
      <c r="M10" s="3"/>
    </row>
    <row r="11" spans="2:13" ht="17" x14ac:dyDescent="0.2">
      <c r="B11" s="3" t="s">
        <v>76</v>
      </c>
      <c r="C11" s="3" t="s">
        <v>85</v>
      </c>
      <c r="D11" s="3" t="s">
        <v>17</v>
      </c>
      <c r="E11" s="3" t="s">
        <v>130</v>
      </c>
      <c r="F11" s="3" t="s">
        <v>9</v>
      </c>
      <c r="G11" s="3" t="s">
        <v>23</v>
      </c>
      <c r="H11" s="3" t="s">
        <v>23</v>
      </c>
      <c r="I11" s="9">
        <v>46054</v>
      </c>
      <c r="J11" s="10" t="s">
        <v>71</v>
      </c>
      <c r="K11" s="3" t="str">
        <f>IFERROR(VLOOKUP(F11,Table4[[#All],[Status]:[RAG]],2,FALSE),"")</f>
        <v>🔴 Red</v>
      </c>
      <c r="L11" s="10" t="s">
        <v>71</v>
      </c>
      <c r="M11" s="3"/>
    </row>
    <row r="12" spans="2:13" ht="17" x14ac:dyDescent="0.2">
      <c r="B12" s="3" t="s">
        <v>76</v>
      </c>
      <c r="C12" s="3" t="s">
        <v>86</v>
      </c>
      <c r="D12" s="3" t="s">
        <v>17</v>
      </c>
      <c r="E12" s="3" t="s">
        <v>131</v>
      </c>
      <c r="F12" s="3" t="s">
        <v>9</v>
      </c>
      <c r="G12" s="3" t="s">
        <v>23</v>
      </c>
      <c r="H12" s="3" t="s">
        <v>23</v>
      </c>
      <c r="I12" s="9">
        <v>46054</v>
      </c>
      <c r="J12" s="10" t="s">
        <v>71</v>
      </c>
      <c r="K12" s="3" t="str">
        <f>IFERROR(VLOOKUP(F12,Table4[[#All],[Status]:[RAG]],2,FALSE),"")</f>
        <v>🔴 Red</v>
      </c>
      <c r="L12" s="10" t="s">
        <v>71</v>
      </c>
      <c r="M12" s="3"/>
    </row>
    <row r="13" spans="2:13" ht="17" x14ac:dyDescent="0.2">
      <c r="B13" s="3" t="s">
        <v>76</v>
      </c>
      <c r="C13" s="3" t="s">
        <v>87</v>
      </c>
      <c r="D13" s="3" t="s">
        <v>184</v>
      </c>
      <c r="E13" s="3" t="s">
        <v>131</v>
      </c>
      <c r="F13" s="3" t="s">
        <v>9</v>
      </c>
      <c r="G13" s="3" t="s">
        <v>23</v>
      </c>
      <c r="H13" s="3" t="s">
        <v>33</v>
      </c>
      <c r="I13" s="9">
        <v>46054</v>
      </c>
      <c r="J13" s="10" t="s">
        <v>69</v>
      </c>
      <c r="K13" s="3" t="str">
        <f>IFERROR(VLOOKUP(F13,Table4[[#All],[Status]:[RAG]],2,FALSE),"")</f>
        <v>🔴 Red</v>
      </c>
      <c r="L13" s="10" t="s">
        <v>69</v>
      </c>
      <c r="M13" s="3" t="s">
        <v>187</v>
      </c>
    </row>
    <row r="14" spans="2:13" ht="17" x14ac:dyDescent="0.2">
      <c r="B14" s="3" t="s">
        <v>76</v>
      </c>
      <c r="C14" s="3" t="s">
        <v>88</v>
      </c>
      <c r="D14" s="3" t="s">
        <v>184</v>
      </c>
      <c r="E14" s="3" t="s">
        <v>132</v>
      </c>
      <c r="F14" s="3" t="s">
        <v>9</v>
      </c>
      <c r="G14" s="3" t="s">
        <v>23</v>
      </c>
      <c r="H14" s="3" t="s">
        <v>23</v>
      </c>
      <c r="I14" s="9">
        <v>46054</v>
      </c>
      <c r="J14" s="10" t="s">
        <v>71</v>
      </c>
      <c r="K14" s="3" t="str">
        <f>IFERROR(VLOOKUP(F14,Table4[[#All],[Status]:[RAG]],2,FALSE),"")</f>
        <v>🔴 Red</v>
      </c>
      <c r="L14" s="10" t="s">
        <v>71</v>
      </c>
      <c r="M14" s="3"/>
    </row>
    <row r="15" spans="2:13" ht="17" x14ac:dyDescent="0.2">
      <c r="B15" s="3" t="s">
        <v>89</v>
      </c>
      <c r="C15" s="3" t="s">
        <v>7</v>
      </c>
      <c r="D15" s="3" t="s">
        <v>8</v>
      </c>
      <c r="E15" s="3" t="s">
        <v>133</v>
      </c>
      <c r="F15" s="3" t="s">
        <v>72</v>
      </c>
      <c r="G15" s="3" t="s">
        <v>23</v>
      </c>
      <c r="H15" s="3" t="s">
        <v>23</v>
      </c>
      <c r="I15" s="9">
        <v>46054</v>
      </c>
      <c r="J15" s="10" t="s">
        <v>71</v>
      </c>
      <c r="K15" s="3" t="str">
        <f>IFERROR(VLOOKUP(F15,Table4[[#All],[Status]:[RAG]],2,FALSE),"")</f>
        <v>🟠 Amber</v>
      </c>
      <c r="L15" s="10" t="s">
        <v>71</v>
      </c>
      <c r="M15" s="3"/>
    </row>
    <row r="16" spans="2:13" ht="17" x14ac:dyDescent="0.2">
      <c r="B16" s="3" t="s">
        <v>89</v>
      </c>
      <c r="C16" s="3" t="s">
        <v>90</v>
      </c>
      <c r="D16" s="3" t="s">
        <v>8</v>
      </c>
      <c r="E16" s="3" t="s">
        <v>134</v>
      </c>
      <c r="F16" s="3" t="s">
        <v>9</v>
      </c>
      <c r="G16" s="3" t="s">
        <v>33</v>
      </c>
      <c r="H16" s="3" t="s">
        <v>23</v>
      </c>
      <c r="I16" s="9">
        <v>46054</v>
      </c>
      <c r="J16" s="10" t="s">
        <v>71</v>
      </c>
      <c r="K16" s="3" t="str">
        <f>IFERROR(VLOOKUP(F16,Table4[[#All],[Status]:[RAG]],2,FALSE),"")</f>
        <v>🔴 Red</v>
      </c>
      <c r="L16" s="10" t="s">
        <v>71</v>
      </c>
      <c r="M16" s="3"/>
    </row>
    <row r="17" spans="2:13" ht="17" x14ac:dyDescent="0.2">
      <c r="B17" s="3" t="s">
        <v>89</v>
      </c>
      <c r="C17" s="3" t="s">
        <v>91</v>
      </c>
      <c r="D17" s="3" t="s">
        <v>10</v>
      </c>
      <c r="E17" s="3" t="s">
        <v>135</v>
      </c>
      <c r="F17" s="3" t="s">
        <v>9</v>
      </c>
      <c r="G17" s="3" t="s">
        <v>23</v>
      </c>
      <c r="H17" s="3" t="s">
        <v>23</v>
      </c>
      <c r="I17" s="9">
        <v>46054</v>
      </c>
      <c r="J17" s="10" t="s">
        <v>71</v>
      </c>
      <c r="K17" s="3" t="str">
        <f>IFERROR(VLOOKUP(F17,Table4[[#All],[Status]:[RAG]],2,FALSE),"")</f>
        <v>🔴 Red</v>
      </c>
      <c r="L17" s="10" t="s">
        <v>71</v>
      </c>
      <c r="M17" s="3"/>
    </row>
    <row r="18" spans="2:13" ht="17" x14ac:dyDescent="0.2">
      <c r="B18" s="3" t="s">
        <v>89</v>
      </c>
      <c r="C18" s="3" t="s">
        <v>92</v>
      </c>
      <c r="D18" s="3" t="s">
        <v>184</v>
      </c>
      <c r="E18" s="3" t="s">
        <v>136</v>
      </c>
      <c r="F18" s="3" t="s">
        <v>165</v>
      </c>
      <c r="G18" s="3" t="s">
        <v>23</v>
      </c>
      <c r="H18" s="3" t="s">
        <v>23</v>
      </c>
      <c r="I18" s="9">
        <v>46054</v>
      </c>
      <c r="J18" s="10" t="s">
        <v>71</v>
      </c>
      <c r="K18" s="3" t="str">
        <f>IFERROR(VLOOKUP(F18,Table4[[#All],[Status]:[RAG]],2,FALSE),"")</f>
        <v>🟢 Green</v>
      </c>
      <c r="L18" s="10" t="s">
        <v>71</v>
      </c>
      <c r="M18" s="3"/>
    </row>
    <row r="19" spans="2:13" ht="17" x14ac:dyDescent="0.2">
      <c r="B19" s="3" t="s">
        <v>89</v>
      </c>
      <c r="C19" s="3" t="s">
        <v>93</v>
      </c>
      <c r="D19" s="3" t="s">
        <v>12</v>
      </c>
      <c r="E19" s="3" t="s">
        <v>137</v>
      </c>
      <c r="F19" s="3" t="s">
        <v>9</v>
      </c>
      <c r="G19" s="3" t="s">
        <v>23</v>
      </c>
      <c r="H19" s="3" t="s">
        <v>23</v>
      </c>
      <c r="I19" s="9">
        <v>46054</v>
      </c>
      <c r="J19" s="10" t="s">
        <v>71</v>
      </c>
      <c r="K19" s="3" t="str">
        <f>IFERROR(VLOOKUP(F19,Table4[[#All],[Status]:[RAG]],2,FALSE),"")</f>
        <v>🔴 Red</v>
      </c>
      <c r="L19" s="10" t="s">
        <v>71</v>
      </c>
      <c r="M19" s="3"/>
    </row>
    <row r="20" spans="2:13" ht="17" x14ac:dyDescent="0.2">
      <c r="B20" s="3" t="s">
        <v>89</v>
      </c>
      <c r="C20" s="3" t="s">
        <v>94</v>
      </c>
      <c r="D20" s="3" t="s">
        <v>13</v>
      </c>
      <c r="E20" s="3" t="s">
        <v>138</v>
      </c>
      <c r="F20" s="3" t="s">
        <v>9</v>
      </c>
      <c r="G20" s="3" t="s">
        <v>23</v>
      </c>
      <c r="H20" s="3" t="s">
        <v>23</v>
      </c>
      <c r="I20" s="9">
        <v>46054</v>
      </c>
      <c r="J20" s="10" t="s">
        <v>71</v>
      </c>
      <c r="K20" s="3" t="str">
        <f>IFERROR(VLOOKUP(F20,Table4[[#All],[Status]:[RAG]],2,FALSE),"")</f>
        <v>🔴 Red</v>
      </c>
      <c r="L20" s="10" t="s">
        <v>71</v>
      </c>
      <c r="M20" s="3"/>
    </row>
    <row r="21" spans="2:13" ht="17" x14ac:dyDescent="0.2">
      <c r="B21" s="3" t="s">
        <v>89</v>
      </c>
      <c r="C21" s="3" t="s">
        <v>95</v>
      </c>
      <c r="D21" s="3" t="s">
        <v>15</v>
      </c>
      <c r="E21" s="3" t="s">
        <v>139</v>
      </c>
      <c r="F21" s="3" t="s">
        <v>9</v>
      </c>
      <c r="G21" s="3" t="s">
        <v>23</v>
      </c>
      <c r="H21" s="3" t="s">
        <v>23</v>
      </c>
      <c r="I21" s="9">
        <v>46054</v>
      </c>
      <c r="J21" s="10" t="s">
        <v>71</v>
      </c>
      <c r="K21" s="3" t="str">
        <f>IFERROR(VLOOKUP(F21,Table4[[#All],[Status]:[RAG]],2,FALSE),"")</f>
        <v>🔴 Red</v>
      </c>
      <c r="L21" s="10" t="s">
        <v>71</v>
      </c>
      <c r="M21" s="3"/>
    </row>
    <row r="22" spans="2:13" ht="17" x14ac:dyDescent="0.2">
      <c r="B22" s="3" t="s">
        <v>89</v>
      </c>
      <c r="C22" s="3" t="s">
        <v>96</v>
      </c>
      <c r="D22" s="3" t="s">
        <v>184</v>
      </c>
      <c r="E22" s="3" t="s">
        <v>140</v>
      </c>
      <c r="F22" s="3" t="s">
        <v>9</v>
      </c>
      <c r="G22" s="3" t="s">
        <v>23</v>
      </c>
      <c r="H22" s="3" t="s">
        <v>23</v>
      </c>
      <c r="I22" s="9">
        <v>46054</v>
      </c>
      <c r="J22" s="10" t="s">
        <v>71</v>
      </c>
      <c r="K22" s="3" t="str">
        <f>IFERROR(VLOOKUP(F22,Table4[[#All],[Status]:[RAG]],2,FALSE),"")</f>
        <v>🔴 Red</v>
      </c>
      <c r="L22" s="10" t="s">
        <v>71</v>
      </c>
      <c r="M22" s="3"/>
    </row>
    <row r="23" spans="2:13" ht="17" x14ac:dyDescent="0.2">
      <c r="B23" s="3" t="s">
        <v>18</v>
      </c>
      <c r="C23" s="3" t="s">
        <v>97</v>
      </c>
      <c r="D23" s="3" t="s">
        <v>18</v>
      </c>
      <c r="E23" s="3" t="s">
        <v>141</v>
      </c>
      <c r="F23" s="3" t="s">
        <v>9</v>
      </c>
      <c r="G23" s="3" t="s">
        <v>23</v>
      </c>
      <c r="H23" s="3" t="s">
        <v>23</v>
      </c>
      <c r="I23" s="9">
        <v>46054</v>
      </c>
      <c r="J23" s="10" t="s">
        <v>71</v>
      </c>
      <c r="K23" s="3" t="str">
        <f>IFERROR(VLOOKUP(F23,Table4[[#All],[Status]:[RAG]],2,FALSE),"")</f>
        <v>🔴 Red</v>
      </c>
      <c r="L23" s="10" t="s">
        <v>71</v>
      </c>
      <c r="M23" s="3"/>
    </row>
    <row r="24" spans="2:13" ht="17" x14ac:dyDescent="0.2">
      <c r="B24" s="3" t="s">
        <v>18</v>
      </c>
      <c r="C24" s="3" t="s">
        <v>98</v>
      </c>
      <c r="D24" s="3" t="s">
        <v>18</v>
      </c>
      <c r="E24" s="3" t="s">
        <v>142</v>
      </c>
      <c r="F24" s="3" t="s">
        <v>9</v>
      </c>
      <c r="G24" s="3" t="s">
        <v>23</v>
      </c>
      <c r="H24" s="3" t="s">
        <v>23</v>
      </c>
      <c r="I24" s="9">
        <v>46054</v>
      </c>
      <c r="J24" s="10" t="s">
        <v>71</v>
      </c>
      <c r="K24" s="3" t="str">
        <f>IFERROR(VLOOKUP(F24,Table4[[#All],[Status]:[RAG]],2,FALSE),"")</f>
        <v>🔴 Red</v>
      </c>
      <c r="L24" s="10" t="s">
        <v>71</v>
      </c>
      <c r="M24" s="3"/>
    </row>
    <row r="25" spans="2:13" ht="17" x14ac:dyDescent="0.2">
      <c r="B25" s="3" t="s">
        <v>18</v>
      </c>
      <c r="C25" s="3" t="s">
        <v>99</v>
      </c>
      <c r="D25" s="3" t="s">
        <v>18</v>
      </c>
      <c r="E25" s="3" t="s">
        <v>143</v>
      </c>
      <c r="F25" s="3" t="s">
        <v>9</v>
      </c>
      <c r="G25" s="3" t="s">
        <v>23</v>
      </c>
      <c r="H25" s="3" t="s">
        <v>23</v>
      </c>
      <c r="I25" s="9">
        <v>46054</v>
      </c>
      <c r="J25" s="10" t="s">
        <v>71</v>
      </c>
      <c r="K25" s="3" t="str">
        <f>IFERROR(VLOOKUP(F25,Table4[[#All],[Status]:[RAG]],2,FALSE),"")</f>
        <v>🔴 Red</v>
      </c>
      <c r="L25" s="10" t="s">
        <v>71</v>
      </c>
      <c r="M25" s="3"/>
    </row>
    <row r="26" spans="2:13" ht="17" x14ac:dyDescent="0.2">
      <c r="B26" s="3" t="s">
        <v>18</v>
      </c>
      <c r="C26" s="3" t="s">
        <v>100</v>
      </c>
      <c r="D26" s="3" t="s">
        <v>18</v>
      </c>
      <c r="E26" s="3" t="s">
        <v>144</v>
      </c>
      <c r="F26" s="3" t="s">
        <v>9</v>
      </c>
      <c r="G26" s="3" t="s">
        <v>23</v>
      </c>
      <c r="H26" s="3" t="s">
        <v>23</v>
      </c>
      <c r="I26" s="9">
        <v>46054</v>
      </c>
      <c r="J26" s="10" t="s">
        <v>71</v>
      </c>
      <c r="K26" s="3" t="str">
        <f>IFERROR(VLOOKUP(F26,Table4[[#All],[Status]:[RAG]],2,FALSE),"")</f>
        <v>🔴 Red</v>
      </c>
      <c r="L26" s="10" t="s">
        <v>71</v>
      </c>
      <c r="M26" s="3"/>
    </row>
    <row r="27" spans="2:13" ht="17" x14ac:dyDescent="0.2">
      <c r="B27" s="3" t="s">
        <v>101</v>
      </c>
      <c r="C27" s="3" t="s">
        <v>102</v>
      </c>
      <c r="D27" s="3" t="s">
        <v>16</v>
      </c>
      <c r="E27" s="3" t="s">
        <v>145</v>
      </c>
      <c r="F27" s="3" t="s">
        <v>9</v>
      </c>
      <c r="G27" s="3" t="s">
        <v>23</v>
      </c>
      <c r="H27" s="3" t="s">
        <v>23</v>
      </c>
      <c r="I27" s="9">
        <v>46054</v>
      </c>
      <c r="J27" s="10" t="s">
        <v>71</v>
      </c>
      <c r="K27" s="3" t="str">
        <f>IFERROR(VLOOKUP(F27,Table4[[#All],[Status]:[RAG]],2,FALSE),"")</f>
        <v>🔴 Red</v>
      </c>
      <c r="L27" s="10" t="s">
        <v>71</v>
      </c>
      <c r="M27" s="3"/>
    </row>
    <row r="28" spans="2:13" ht="17" x14ac:dyDescent="0.2">
      <c r="B28" s="3" t="s">
        <v>101</v>
      </c>
      <c r="C28" s="3" t="s">
        <v>103</v>
      </c>
      <c r="D28" s="3" t="s">
        <v>16</v>
      </c>
      <c r="E28" s="3" t="s">
        <v>146</v>
      </c>
      <c r="F28" s="3" t="s">
        <v>9</v>
      </c>
      <c r="G28" s="3" t="s">
        <v>23</v>
      </c>
      <c r="H28" s="3" t="s">
        <v>23</v>
      </c>
      <c r="I28" s="9">
        <v>46054</v>
      </c>
      <c r="J28" s="10" t="s">
        <v>71</v>
      </c>
      <c r="K28" s="3" t="str">
        <f>IFERROR(VLOOKUP(F28,Table4[[#All],[Status]:[RAG]],2,FALSE),"")</f>
        <v>🔴 Red</v>
      </c>
      <c r="L28" s="10" t="s">
        <v>71</v>
      </c>
      <c r="M28" s="3"/>
    </row>
    <row r="29" spans="2:13" ht="17" x14ac:dyDescent="0.2">
      <c r="B29" s="3" t="s">
        <v>101</v>
      </c>
      <c r="C29" s="3" t="s">
        <v>104</v>
      </c>
      <c r="D29" s="3" t="s">
        <v>184</v>
      </c>
      <c r="E29" s="3" t="s">
        <v>147</v>
      </c>
      <c r="F29" s="3" t="s">
        <v>9</v>
      </c>
      <c r="G29" s="3" t="s">
        <v>23</v>
      </c>
      <c r="H29" s="3" t="s">
        <v>23</v>
      </c>
      <c r="I29" s="9">
        <v>46054</v>
      </c>
      <c r="J29" s="10" t="s">
        <v>71</v>
      </c>
      <c r="K29" s="3" t="str">
        <f>IFERROR(VLOOKUP(F29,Table4[[#All],[Status]:[RAG]],2,FALSE),"")</f>
        <v>🔴 Red</v>
      </c>
      <c r="L29" s="10" t="s">
        <v>71</v>
      </c>
      <c r="M29" s="3"/>
    </row>
    <row r="30" spans="2:13" ht="17" x14ac:dyDescent="0.2">
      <c r="B30" s="3" t="s">
        <v>101</v>
      </c>
      <c r="C30" s="3" t="s">
        <v>105</v>
      </c>
      <c r="D30" s="3" t="s">
        <v>12</v>
      </c>
      <c r="E30" s="3" t="s">
        <v>148</v>
      </c>
      <c r="F30" s="3" t="s">
        <v>9</v>
      </c>
      <c r="G30" s="3" t="s">
        <v>23</v>
      </c>
      <c r="H30" s="3" t="s">
        <v>23</v>
      </c>
      <c r="I30" s="9">
        <v>46054</v>
      </c>
      <c r="J30" s="10" t="s">
        <v>71</v>
      </c>
      <c r="K30" s="3" t="str">
        <f>IFERROR(VLOOKUP(F30,Table4[[#All],[Status]:[RAG]],2,FALSE),"")</f>
        <v>🔴 Red</v>
      </c>
      <c r="L30" s="10" t="s">
        <v>71</v>
      </c>
      <c r="M30" s="3"/>
    </row>
    <row r="31" spans="2:13" ht="17" x14ac:dyDescent="0.2">
      <c r="B31" s="3" t="s">
        <v>106</v>
      </c>
      <c r="C31" s="3" t="s">
        <v>107</v>
      </c>
      <c r="D31" s="3" t="s">
        <v>185</v>
      </c>
      <c r="E31" s="3" t="s">
        <v>149</v>
      </c>
      <c r="F31" s="3" t="s">
        <v>9</v>
      </c>
      <c r="G31" s="3" t="s">
        <v>23</v>
      </c>
      <c r="H31" s="3" t="s">
        <v>23</v>
      </c>
      <c r="I31" s="9">
        <v>46054</v>
      </c>
      <c r="J31" s="10" t="s">
        <v>71</v>
      </c>
      <c r="K31" s="3" t="str">
        <f>IFERROR(VLOOKUP(F31,Table4[[#All],[Status]:[RAG]],2,FALSE),"")</f>
        <v>🔴 Red</v>
      </c>
      <c r="L31" s="10" t="s">
        <v>71</v>
      </c>
      <c r="M31" s="3"/>
    </row>
    <row r="32" spans="2:13" ht="17" x14ac:dyDescent="0.2">
      <c r="B32" s="3" t="s">
        <v>106</v>
      </c>
      <c r="C32" s="3" t="s">
        <v>108</v>
      </c>
      <c r="D32" s="3" t="s">
        <v>14</v>
      </c>
      <c r="E32" s="3" t="s">
        <v>150</v>
      </c>
      <c r="F32" s="3" t="s">
        <v>9</v>
      </c>
      <c r="G32" s="3" t="s">
        <v>23</v>
      </c>
      <c r="H32" s="3" t="s">
        <v>23</v>
      </c>
      <c r="I32" s="9">
        <v>46054</v>
      </c>
      <c r="J32" s="10" t="s">
        <v>71</v>
      </c>
      <c r="K32" s="3" t="str">
        <f>IFERROR(VLOOKUP(F32,Table4[[#All],[Status]:[RAG]],2,FALSE),"")</f>
        <v>🔴 Red</v>
      </c>
      <c r="L32" s="10" t="s">
        <v>71</v>
      </c>
      <c r="M32" s="3"/>
    </row>
    <row r="33" spans="2:13" ht="17" x14ac:dyDescent="0.2">
      <c r="B33" s="3" t="s">
        <v>106</v>
      </c>
      <c r="C33" s="3" t="s">
        <v>109</v>
      </c>
      <c r="D33" s="3" t="s">
        <v>184</v>
      </c>
      <c r="E33" s="3" t="s">
        <v>151</v>
      </c>
      <c r="F33" s="3" t="s">
        <v>9</v>
      </c>
      <c r="G33" s="3" t="s">
        <v>23</v>
      </c>
      <c r="H33" s="3" t="s">
        <v>23</v>
      </c>
      <c r="I33" s="9">
        <v>46054</v>
      </c>
      <c r="J33" s="10" t="s">
        <v>71</v>
      </c>
      <c r="K33" s="3" t="str">
        <f>IFERROR(VLOOKUP(F33,Table4[[#All],[Status]:[RAG]],2,FALSE),"")</f>
        <v>🔴 Red</v>
      </c>
      <c r="L33" s="10" t="s">
        <v>71</v>
      </c>
      <c r="M33" s="3"/>
    </row>
    <row r="34" spans="2:13" ht="17" x14ac:dyDescent="0.2">
      <c r="B34" s="3" t="s">
        <v>106</v>
      </c>
      <c r="C34" s="3" t="s">
        <v>110</v>
      </c>
      <c r="D34" s="3" t="s">
        <v>12</v>
      </c>
      <c r="E34" s="3" t="s">
        <v>152</v>
      </c>
      <c r="F34" s="3" t="s">
        <v>9</v>
      </c>
      <c r="G34" s="3" t="s">
        <v>23</v>
      </c>
      <c r="H34" s="3" t="s">
        <v>23</v>
      </c>
      <c r="I34" s="9">
        <v>46054</v>
      </c>
      <c r="J34" s="10" t="s">
        <v>71</v>
      </c>
      <c r="K34" s="3" t="str">
        <f>IFERROR(VLOOKUP(F34,Table4[[#All],[Status]:[RAG]],2,FALSE),"")</f>
        <v>🔴 Red</v>
      </c>
      <c r="L34" s="10" t="s">
        <v>71</v>
      </c>
      <c r="M34" s="3"/>
    </row>
    <row r="35" spans="2:13" ht="17" x14ac:dyDescent="0.2">
      <c r="B35" s="3" t="s">
        <v>106</v>
      </c>
      <c r="C35" s="3" t="s">
        <v>111</v>
      </c>
      <c r="D35" s="3" t="s">
        <v>12</v>
      </c>
      <c r="E35" s="3" t="s">
        <v>153</v>
      </c>
      <c r="F35" s="3" t="s">
        <v>9</v>
      </c>
      <c r="G35" s="3" t="s">
        <v>23</v>
      </c>
      <c r="H35" s="3" t="s">
        <v>23</v>
      </c>
      <c r="I35" s="9">
        <v>46054</v>
      </c>
      <c r="J35" s="10" t="s">
        <v>71</v>
      </c>
      <c r="K35" s="3" t="str">
        <f>IFERROR(VLOOKUP(F35,Table4[[#All],[Status]:[RAG]],2,FALSE),"")</f>
        <v>🔴 Red</v>
      </c>
      <c r="L35" s="10" t="s">
        <v>71</v>
      </c>
      <c r="M35" s="3"/>
    </row>
    <row r="36" spans="2:13" ht="17" x14ac:dyDescent="0.2">
      <c r="B36" s="3" t="s">
        <v>106</v>
      </c>
      <c r="C36" s="3" t="s">
        <v>112</v>
      </c>
      <c r="D36" s="3" t="s">
        <v>12</v>
      </c>
      <c r="E36" s="3" t="s">
        <v>154</v>
      </c>
      <c r="F36" s="3" t="s">
        <v>9</v>
      </c>
      <c r="G36" s="3" t="s">
        <v>23</v>
      </c>
      <c r="H36" s="3" t="s">
        <v>23</v>
      </c>
      <c r="I36" s="9">
        <v>46054</v>
      </c>
      <c r="J36" s="10" t="s">
        <v>71</v>
      </c>
      <c r="K36" s="3" t="str">
        <f>IFERROR(VLOOKUP(F36,Table4[[#All],[Status]:[RAG]],2,FALSE),"")</f>
        <v>🔴 Red</v>
      </c>
      <c r="L36" s="10" t="s">
        <v>71</v>
      </c>
      <c r="M36" s="3"/>
    </row>
    <row r="37" spans="2:13" ht="17" x14ac:dyDescent="0.2">
      <c r="B37" s="3" t="s">
        <v>106</v>
      </c>
      <c r="C37" s="3" t="s">
        <v>113</v>
      </c>
      <c r="D37" s="3" t="s">
        <v>12</v>
      </c>
      <c r="E37" s="3" t="s">
        <v>155</v>
      </c>
      <c r="F37" s="3" t="s">
        <v>9</v>
      </c>
      <c r="G37" s="3" t="s">
        <v>23</v>
      </c>
      <c r="H37" s="3" t="s">
        <v>23</v>
      </c>
      <c r="I37" s="9">
        <v>46054</v>
      </c>
      <c r="J37" s="10" t="s">
        <v>71</v>
      </c>
      <c r="K37" s="3" t="str">
        <f>IFERROR(VLOOKUP(F37,Table4[[#All],[Status]:[RAG]],2,FALSE),"")</f>
        <v>🔴 Red</v>
      </c>
      <c r="L37" s="10" t="s">
        <v>71</v>
      </c>
      <c r="M37" s="3"/>
    </row>
    <row r="38" spans="2:13" ht="17" x14ac:dyDescent="0.2">
      <c r="B38" s="3" t="s">
        <v>106</v>
      </c>
      <c r="C38" s="3" t="s">
        <v>114</v>
      </c>
      <c r="D38" s="3" t="s">
        <v>12</v>
      </c>
      <c r="E38" s="3" t="s">
        <v>156</v>
      </c>
      <c r="F38" s="3" t="s">
        <v>9</v>
      </c>
      <c r="G38" s="3" t="s">
        <v>23</v>
      </c>
      <c r="H38" s="3" t="s">
        <v>23</v>
      </c>
      <c r="I38" s="9">
        <v>46054</v>
      </c>
      <c r="J38" s="10" t="s">
        <v>71</v>
      </c>
      <c r="K38" s="3" t="str">
        <f>IFERROR(VLOOKUP(F38,Table4[[#All],[Status]:[RAG]],2,FALSE),"")</f>
        <v>🔴 Red</v>
      </c>
      <c r="L38" s="10" t="s">
        <v>71</v>
      </c>
      <c r="M38" s="3"/>
    </row>
    <row r="39" spans="2:13" ht="17" x14ac:dyDescent="0.2">
      <c r="B39" s="3" t="s">
        <v>106</v>
      </c>
      <c r="C39" s="3" t="s">
        <v>115</v>
      </c>
      <c r="D39" s="3" t="s">
        <v>184</v>
      </c>
      <c r="E39" s="3" t="s">
        <v>157</v>
      </c>
      <c r="F39" s="3" t="s">
        <v>9</v>
      </c>
      <c r="G39" s="3" t="s">
        <v>23</v>
      </c>
      <c r="H39" s="3" t="s">
        <v>23</v>
      </c>
      <c r="I39" s="9">
        <v>46054</v>
      </c>
      <c r="J39" s="10" t="s">
        <v>71</v>
      </c>
      <c r="K39" s="3" t="str">
        <f>IFERROR(VLOOKUP(F39,Table4[[#All],[Status]:[RAG]],2,FALSE),"")</f>
        <v>🔴 Red</v>
      </c>
      <c r="L39" s="10" t="s">
        <v>71</v>
      </c>
      <c r="M39" s="3"/>
    </row>
    <row r="40" spans="2:13" ht="17" x14ac:dyDescent="0.2">
      <c r="B40" s="3" t="s">
        <v>106</v>
      </c>
      <c r="C40" s="3" t="s">
        <v>116</v>
      </c>
      <c r="D40" s="3" t="s">
        <v>184</v>
      </c>
      <c r="E40" s="3" t="s">
        <v>158</v>
      </c>
      <c r="F40" s="3" t="s">
        <v>9</v>
      </c>
      <c r="G40" s="3" t="s">
        <v>23</v>
      </c>
      <c r="H40" s="3" t="s">
        <v>23</v>
      </c>
      <c r="I40" s="9">
        <v>46054</v>
      </c>
      <c r="J40" s="10" t="s">
        <v>71</v>
      </c>
      <c r="K40" s="3" t="str">
        <f>IFERROR(VLOOKUP(F40,Table4[[#All],[Status]:[RAG]],2,FALSE),"")</f>
        <v>🔴 Red</v>
      </c>
      <c r="L40" s="10" t="s">
        <v>71</v>
      </c>
      <c r="M40" s="3"/>
    </row>
    <row r="41" spans="2:13" ht="17" x14ac:dyDescent="0.2">
      <c r="B41" s="3" t="s">
        <v>106</v>
      </c>
      <c r="C41" s="3" t="s">
        <v>117</v>
      </c>
      <c r="D41" s="3" t="s">
        <v>8</v>
      </c>
      <c r="E41" s="3" t="s">
        <v>159</v>
      </c>
      <c r="F41" s="3" t="s">
        <v>9</v>
      </c>
      <c r="G41" s="3" t="s">
        <v>23</v>
      </c>
      <c r="H41" s="3" t="s">
        <v>23</v>
      </c>
      <c r="I41" s="9">
        <v>46054</v>
      </c>
      <c r="J41" s="10" t="s">
        <v>71</v>
      </c>
      <c r="K41" s="3" t="str">
        <f>IFERROR(VLOOKUP(F41,Table4[[#All],[Status]:[RAG]],2,FALSE),"")</f>
        <v>🔴 Red</v>
      </c>
      <c r="L41" s="10" t="s">
        <v>71</v>
      </c>
      <c r="M41" s="3"/>
    </row>
    <row r="42" spans="2:13" ht="17" x14ac:dyDescent="0.2">
      <c r="B42" s="3" t="s">
        <v>118</v>
      </c>
      <c r="C42" s="3" t="s">
        <v>11</v>
      </c>
      <c r="D42" s="3" t="s">
        <v>12</v>
      </c>
      <c r="E42" s="3" t="s">
        <v>160</v>
      </c>
      <c r="F42" s="3" t="s">
        <v>9</v>
      </c>
      <c r="G42" s="3" t="s">
        <v>23</v>
      </c>
      <c r="H42" s="3" t="s">
        <v>23</v>
      </c>
      <c r="I42" s="9">
        <v>46054</v>
      </c>
      <c r="J42" s="10" t="s">
        <v>71</v>
      </c>
      <c r="K42" s="3" t="str">
        <f>IFERROR(VLOOKUP(F42,Table4[[#All],[Status]:[RAG]],2,FALSE),"")</f>
        <v>🔴 Red</v>
      </c>
      <c r="L42" s="10" t="s">
        <v>71</v>
      </c>
      <c r="M42" s="3"/>
    </row>
    <row r="43" spans="2:13" ht="17" x14ac:dyDescent="0.2">
      <c r="B43" s="3" t="s">
        <v>118</v>
      </c>
      <c r="C43" s="3" t="s">
        <v>119</v>
      </c>
      <c r="D43" s="3" t="s">
        <v>13</v>
      </c>
      <c r="E43" s="3" t="s">
        <v>161</v>
      </c>
      <c r="F43" s="3" t="s">
        <v>9</v>
      </c>
      <c r="G43" s="3" t="s">
        <v>23</v>
      </c>
      <c r="H43" s="3" t="s">
        <v>23</v>
      </c>
      <c r="I43" s="9">
        <v>46054</v>
      </c>
      <c r="J43" s="10" t="s">
        <v>71</v>
      </c>
      <c r="K43" s="3" t="str">
        <f>IFERROR(VLOOKUP(F43,Table4[[#All],[Status]:[RAG]],2,FALSE),"")</f>
        <v>🔴 Red</v>
      </c>
      <c r="L43" s="10" t="s">
        <v>71</v>
      </c>
      <c r="M43" s="3"/>
    </row>
    <row r="44" spans="2:13" ht="17" x14ac:dyDescent="0.2">
      <c r="B44" s="3" t="s">
        <v>118</v>
      </c>
      <c r="C44" s="3" t="s">
        <v>120</v>
      </c>
      <c r="D44" s="3" t="s">
        <v>184</v>
      </c>
      <c r="E44" s="3" t="s">
        <v>162</v>
      </c>
      <c r="F44" s="3" t="s">
        <v>9</v>
      </c>
      <c r="G44" s="3" t="s">
        <v>23</v>
      </c>
      <c r="H44" s="3" t="s">
        <v>23</v>
      </c>
      <c r="I44" s="9">
        <v>46054</v>
      </c>
      <c r="J44" s="10" t="s">
        <v>71</v>
      </c>
      <c r="K44" s="3" t="str">
        <f>IFERROR(VLOOKUP(F44,Table4[[#All],[Status]:[RAG]],2,FALSE),"")</f>
        <v>🔴 Red</v>
      </c>
      <c r="L44" s="10" t="s">
        <v>71</v>
      </c>
      <c r="M44" s="3"/>
    </row>
    <row r="45" spans="2:13" ht="17" x14ac:dyDescent="0.2">
      <c r="B45" s="3" t="s">
        <v>118</v>
      </c>
      <c r="C45" s="3" t="s">
        <v>121</v>
      </c>
      <c r="D45" s="3" t="s">
        <v>16</v>
      </c>
      <c r="E45" s="3" t="s">
        <v>163</v>
      </c>
      <c r="F45" s="3" t="s">
        <v>9</v>
      </c>
      <c r="G45" s="3" t="s">
        <v>23</v>
      </c>
      <c r="H45" s="3" t="s">
        <v>23</v>
      </c>
      <c r="I45" s="9">
        <v>46054</v>
      </c>
      <c r="J45" s="10" t="s">
        <v>71</v>
      </c>
      <c r="K45" s="3" t="str">
        <f>IFERROR(VLOOKUP(F45,Table4[[#All],[Status]:[RAG]],2,FALSE),"")</f>
        <v>🔴 Red</v>
      </c>
      <c r="L45" s="10" t="s">
        <v>71</v>
      </c>
      <c r="M45" s="3"/>
    </row>
  </sheetData>
  <dataValidations count="3">
    <dataValidation type="list" allowBlank="1" sqref="D3:D334" xr:uid="{2422ED95-2806-084D-8C7C-581441D2B886}">
      <formula1>"Cash,Bank,Receivables,Payables,Accruals,Prepayments,Payroll,Tax,Loans,Equity,Fixed Assets,Other"</formula1>
    </dataValidation>
    <dataValidation type="list" allowBlank="1" sqref="G46:G334 J46:L334" xr:uid="{33F2EDC4-FC80-5841-8537-4CFCCC084C3C}">
      <formula1>"Y,N"</formula1>
    </dataValidation>
    <dataValidation type="list" allowBlank="1" sqref="J3:L45" xr:uid="{91E41F4D-0D4D-D849-918D-3DC89D7A4FD0}">
      <formula1>"Yes,No"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8C944777-1461-9845-B508-7CA35F8DF621}">
          <x14:formula1>
            <xm:f>'Assumptions - EMPLOYEE'!$A$2:$A$23</xm:f>
          </x14:formula1>
          <xm:sqref>G3:H45</xm:sqref>
        </x14:dataValidation>
        <x14:dataValidation type="list" allowBlank="1" xr:uid="{3211CAD6-DF7C-A748-8D40-EC7BF2CFD0BA}">
          <x14:formula1>
            <xm:f>'Assumptions - STATUS'!$A$2:$A$5</xm:f>
          </x14:formula1>
          <xm:sqref>F3:F45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3FBDF-8036-0B41-85D3-CD03BD8C9B39}">
  <sheetPr>
    <tabColor theme="7" tint="0.39997558519241921"/>
  </sheetPr>
  <dimension ref="A1:F17"/>
  <sheetViews>
    <sheetView showGridLines="0" workbookViewId="0">
      <selection activeCell="C21" sqref="C21"/>
    </sheetView>
  </sheetViews>
  <sheetFormatPr baseColWidth="10" defaultColWidth="8.83203125" defaultRowHeight="15" x14ac:dyDescent="0.2"/>
  <cols>
    <col min="1" max="1" width="9.83203125" style="5" bestFit="1" customWidth="1"/>
    <col min="2" max="2" width="9" style="5" bestFit="1" customWidth="1"/>
    <col min="3" max="3" width="39" style="5" bestFit="1" customWidth="1"/>
    <col min="4" max="4" width="91.83203125" style="5" bestFit="1" customWidth="1"/>
    <col min="5" max="5" width="74.33203125" style="5" bestFit="1" customWidth="1"/>
    <col min="6" max="6" width="42.33203125" style="5" bestFit="1" customWidth="1"/>
    <col min="7" max="16384" width="8.83203125" style="5"/>
  </cols>
  <sheetData>
    <row r="1" spans="1:6" x14ac:dyDescent="0.2">
      <c r="A1" s="5" t="s">
        <v>1</v>
      </c>
      <c r="B1" s="5" t="s">
        <v>65</v>
      </c>
      <c r="C1" s="5" t="s">
        <v>66</v>
      </c>
      <c r="D1" s="5" t="s">
        <v>166</v>
      </c>
      <c r="E1" s="5" t="s">
        <v>67</v>
      </c>
      <c r="F1" s="5" t="s">
        <v>68</v>
      </c>
    </row>
    <row r="2" spans="1:6" x14ac:dyDescent="0.2">
      <c r="A2" s="5" t="s">
        <v>9</v>
      </c>
      <c r="B2" s="5" t="s">
        <v>167</v>
      </c>
      <c r="C2" s="5" t="s">
        <v>168</v>
      </c>
      <c r="D2" s="5" t="s">
        <v>169</v>
      </c>
      <c r="E2" s="5" t="s">
        <v>170</v>
      </c>
      <c r="F2" s="5" t="s">
        <v>70</v>
      </c>
    </row>
    <row r="3" spans="1:6" x14ac:dyDescent="0.2">
      <c r="A3" s="5" t="s">
        <v>72</v>
      </c>
      <c r="B3" s="5" t="s">
        <v>171</v>
      </c>
      <c r="C3" s="5" t="s">
        <v>172</v>
      </c>
      <c r="D3" s="5" t="s">
        <v>173</v>
      </c>
      <c r="E3" s="5" t="s">
        <v>174</v>
      </c>
      <c r="F3" s="5" t="s">
        <v>175</v>
      </c>
    </row>
    <row r="4" spans="1:6" x14ac:dyDescent="0.2">
      <c r="A4" s="5" t="s">
        <v>164</v>
      </c>
      <c r="B4" s="5" t="s">
        <v>197</v>
      </c>
      <c r="C4" s="5" t="s">
        <v>176</v>
      </c>
      <c r="D4" s="5" t="s">
        <v>177</v>
      </c>
      <c r="E4" s="5" t="s">
        <v>178</v>
      </c>
      <c r="F4" s="5" t="s">
        <v>179</v>
      </c>
    </row>
    <row r="5" spans="1:6" x14ac:dyDescent="0.2">
      <c r="A5" s="5" t="s">
        <v>165</v>
      </c>
      <c r="B5" s="5" t="s">
        <v>180</v>
      </c>
      <c r="C5" s="5" t="s">
        <v>73</v>
      </c>
      <c r="D5" s="5" t="s">
        <v>181</v>
      </c>
      <c r="E5" s="5" t="s">
        <v>182</v>
      </c>
      <c r="F5" s="5" t="s">
        <v>183</v>
      </c>
    </row>
    <row r="13" spans="1:6" ht="16" x14ac:dyDescent="0.2">
      <c r="A13" s="8"/>
      <c r="B13" s="8"/>
      <c r="C13" s="8"/>
      <c r="D13" s="8"/>
      <c r="E13" s="8"/>
    </row>
    <row r="14" spans="1:6" ht="16" x14ac:dyDescent="0.2">
      <c r="A14" s="8"/>
      <c r="B14"/>
      <c r="C14"/>
      <c r="D14"/>
      <c r="E14"/>
    </row>
    <row r="15" spans="1:6" ht="16" x14ac:dyDescent="0.2">
      <c r="A15" s="8"/>
      <c r="B15"/>
      <c r="C15"/>
      <c r="D15"/>
      <c r="E15"/>
    </row>
    <row r="16" spans="1:6" ht="16" x14ac:dyDescent="0.2">
      <c r="A16" s="8"/>
      <c r="B16"/>
      <c r="C16"/>
      <c r="D16"/>
      <c r="E16"/>
    </row>
    <row r="17" spans="1:5" ht="16" x14ac:dyDescent="0.2">
      <c r="A17" s="8"/>
      <c r="B17"/>
      <c r="C17"/>
      <c r="D17"/>
      <c r="E1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D72E-1F03-A044-BCE4-8A8BB1CDD848}">
  <sheetPr>
    <tabColor theme="8" tint="0.59999389629810485"/>
  </sheetPr>
  <dimension ref="A1:B23"/>
  <sheetViews>
    <sheetView showGridLines="0" workbookViewId="0">
      <selection activeCell="A5" sqref="A5"/>
    </sheetView>
  </sheetViews>
  <sheetFormatPr baseColWidth="10" defaultColWidth="8.83203125" defaultRowHeight="15" x14ac:dyDescent="0.2"/>
  <cols>
    <col min="1" max="1" width="26.6640625" style="5" customWidth="1"/>
    <col min="2" max="2" width="29" style="5" bestFit="1" customWidth="1"/>
    <col min="3" max="5" width="8.83203125" style="5"/>
    <col min="6" max="6" width="9.33203125" style="5" bestFit="1" customWidth="1"/>
    <col min="7" max="16384" width="8.83203125" style="5"/>
  </cols>
  <sheetData>
    <row r="1" spans="1:2" x14ac:dyDescent="0.2">
      <c r="A1" s="4" t="s">
        <v>19</v>
      </c>
      <c r="B1" s="4" t="s">
        <v>20</v>
      </c>
    </row>
    <row r="2" spans="1:2" x14ac:dyDescent="0.2">
      <c r="A2" s="5" t="s">
        <v>21</v>
      </c>
      <c r="B2" s="6" t="s">
        <v>22</v>
      </c>
    </row>
    <row r="3" spans="1:2" x14ac:dyDescent="0.2">
      <c r="A3" s="5" t="s">
        <v>23</v>
      </c>
      <c r="B3" s="6" t="s">
        <v>24</v>
      </c>
    </row>
    <row r="4" spans="1:2" x14ac:dyDescent="0.2">
      <c r="A4" s="5" t="s">
        <v>25</v>
      </c>
      <c r="B4" s="6" t="s">
        <v>26</v>
      </c>
    </row>
    <row r="5" spans="1:2" x14ac:dyDescent="0.2">
      <c r="A5" s="5" t="s">
        <v>27</v>
      </c>
      <c r="B5" s="6" t="s">
        <v>28</v>
      </c>
    </row>
    <row r="6" spans="1:2" x14ac:dyDescent="0.2">
      <c r="A6" s="5" t="s">
        <v>29</v>
      </c>
      <c r="B6" s="6" t="s">
        <v>30</v>
      </c>
    </row>
    <row r="7" spans="1:2" x14ac:dyDescent="0.2">
      <c r="A7" s="5" t="s">
        <v>31</v>
      </c>
      <c r="B7" s="6" t="s">
        <v>32</v>
      </c>
    </row>
    <row r="8" spans="1:2" x14ac:dyDescent="0.2">
      <c r="A8" s="5" t="s">
        <v>33</v>
      </c>
      <c r="B8" s="6" t="s">
        <v>34</v>
      </c>
    </row>
    <row r="9" spans="1:2" x14ac:dyDescent="0.2">
      <c r="A9" s="5" t="s">
        <v>35</v>
      </c>
      <c r="B9" s="6" t="s">
        <v>36</v>
      </c>
    </row>
    <row r="10" spans="1:2" x14ac:dyDescent="0.2">
      <c r="A10" s="5" t="s">
        <v>37</v>
      </c>
      <c r="B10" s="6" t="s">
        <v>38</v>
      </c>
    </row>
    <row r="11" spans="1:2" x14ac:dyDescent="0.2">
      <c r="A11" s="5" t="s">
        <v>39</v>
      </c>
      <c r="B11" s="6" t="s">
        <v>40</v>
      </c>
    </row>
    <row r="12" spans="1:2" x14ac:dyDescent="0.2">
      <c r="A12" s="5" t="s">
        <v>41</v>
      </c>
      <c r="B12" s="6" t="s">
        <v>42</v>
      </c>
    </row>
    <row r="13" spans="1:2" x14ac:dyDescent="0.2">
      <c r="A13" s="5" t="s">
        <v>43</v>
      </c>
      <c r="B13" s="6" t="s">
        <v>44</v>
      </c>
    </row>
    <row r="14" spans="1:2" x14ac:dyDescent="0.2">
      <c r="A14" s="5" t="s">
        <v>45</v>
      </c>
      <c r="B14" s="6" t="s">
        <v>46</v>
      </c>
    </row>
    <row r="15" spans="1:2" x14ac:dyDescent="0.2">
      <c r="A15" s="5" t="s">
        <v>47</v>
      </c>
      <c r="B15" s="6" t="s">
        <v>48</v>
      </c>
    </row>
    <row r="16" spans="1:2" x14ac:dyDescent="0.2">
      <c r="A16" s="5" t="s">
        <v>49</v>
      </c>
      <c r="B16" s="6" t="s">
        <v>50</v>
      </c>
    </row>
    <row r="17" spans="1:2" x14ac:dyDescent="0.2">
      <c r="A17" s="5" t="s">
        <v>51</v>
      </c>
      <c r="B17" s="6" t="s">
        <v>52</v>
      </c>
    </row>
    <row r="18" spans="1:2" x14ac:dyDescent="0.2">
      <c r="A18" s="5" t="s">
        <v>53</v>
      </c>
      <c r="B18" s="6" t="s">
        <v>54</v>
      </c>
    </row>
    <row r="19" spans="1:2" x14ac:dyDescent="0.2">
      <c r="A19" s="5" t="s">
        <v>55</v>
      </c>
      <c r="B19" s="6" t="s">
        <v>56</v>
      </c>
    </row>
    <row r="20" spans="1:2" x14ac:dyDescent="0.2">
      <c r="A20" s="5" t="s">
        <v>57</v>
      </c>
      <c r="B20" s="6" t="s">
        <v>58</v>
      </c>
    </row>
    <row r="21" spans="1:2" x14ac:dyDescent="0.2">
      <c r="A21" s="5" t="s">
        <v>59</v>
      </c>
      <c r="B21" s="6" t="s">
        <v>60</v>
      </c>
    </row>
    <row r="22" spans="1:2" x14ac:dyDescent="0.2">
      <c r="A22" s="5" t="s">
        <v>61</v>
      </c>
      <c r="B22" s="6" t="s">
        <v>62</v>
      </c>
    </row>
    <row r="23" spans="1:2" x14ac:dyDescent="0.2">
      <c r="A23" s="5" t="s">
        <v>63</v>
      </c>
      <c r="B23" s="6" t="s">
        <v>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Checklist</vt:lpstr>
      <vt:lpstr>Assumptions - STATUS</vt:lpstr>
      <vt:lpstr>Assumptions - 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 Slabbert</dc:creator>
  <cp:lastModifiedBy>Armand Slabbert</cp:lastModifiedBy>
  <dcterms:created xsi:type="dcterms:W3CDTF">2026-02-06T22:36:50Z</dcterms:created>
  <dcterms:modified xsi:type="dcterms:W3CDTF">2026-02-06T23:31:25Z</dcterms:modified>
</cp:coreProperties>
</file>